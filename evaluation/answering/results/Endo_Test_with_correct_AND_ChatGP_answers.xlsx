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G:\My Drive\Grants\NEC\data\Evaluation\final\project_tree\github_copy\evaluation\answering\results\"/>
    </mc:Choice>
  </mc:AlternateContent>
  <xr:revisionPtr revIDLastSave="0" documentId="13_ncr:1_{9C04E0F4-AF00-4878-952B-CCFD8AC0891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1" i="1" l="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I202" i="1" l="1"/>
  <c r="I203" i="1" s="1"/>
</calcChain>
</file>

<file path=xl/sharedStrings.xml><?xml version="1.0" encoding="utf-8"?>
<sst xmlns="http://schemas.openxmlformats.org/spreadsheetml/2006/main" count="1607" uniqueCount="855">
  <si>
    <t>topic</t>
  </si>
  <si>
    <t>question</t>
  </si>
  <si>
    <t>option_a</t>
  </si>
  <si>
    <t>option_b</t>
  </si>
  <si>
    <t>option_c</t>
  </si>
  <si>
    <t>option_d</t>
  </si>
  <si>
    <t>Hypopituitarism</t>
  </si>
  <si>
    <t>A 45-year-old man presents with fatigue, decreased libido, and cold intolerance. Physical exam reveals decreased pubic hair and pale skin. Lab tests show low cortisol, low testosterone, low free T4, and inappropriately normal TSH. MRI shows a partially empty sella. What is the most likely diagnosis?</t>
  </si>
  <si>
    <t>Primary hypothyroidism</t>
  </si>
  <si>
    <t>Functional hypothalamic amenorrhea</t>
  </si>
  <si>
    <t>Pituitary insufficiency</t>
  </si>
  <si>
    <t>Pheochromocytoma</t>
  </si>
  <si>
    <t>C</t>
  </si>
  <si>
    <t>A 62-year-old woman with a history of pituitary macroadenoma presents with hypotension, fatigue, and weight loss. Labs show hyponatremia, low cortisol, low ACTH, and low aldosterone. Which hormone replacement is urgently needed?</t>
  </si>
  <si>
    <t>Levothyroxine</t>
  </si>
  <si>
    <t>Hydrocortisone</t>
  </si>
  <si>
    <t>Desmopressin</t>
  </si>
  <si>
    <t>Fludrocortisone</t>
  </si>
  <si>
    <t>B</t>
  </si>
  <si>
    <t>A 30-year-old woman has secondary amenorrhea and fatigue. Labs show low LH, low estradiol, low cortisol, and low TSH. MRI reveals a pituitary microadenoma. What is the most appropriate initial step?</t>
  </si>
  <si>
    <t>Start estrogen replacement</t>
  </si>
  <si>
    <t>Begin glucocorticoid therapy</t>
  </si>
  <si>
    <t>Transsphenoidal surgery</t>
  </si>
  <si>
    <t>Repeat MRI in 6 months</t>
  </si>
  <si>
    <t>A man who recently underwent pituitary surgery presents with weakness and hyponatremia. Serum cortisol is 2 Âµg/dL (low), and ACTH is low. Which test best confirms adrenal insufficiency?</t>
  </si>
  <si>
    <t>Early morning cortisol</t>
  </si>
  <si>
    <t>Cosyntropin stimulation test</t>
  </si>
  <si>
    <t>Plasma renin activity</t>
  </si>
  <si>
    <t>CRH stimulation test</t>
  </si>
  <si>
    <t>A woman has amenorrhea and lactation failure following severe postpartum hemorrhage. She has hypotension, hyponatremia, and low TSH. What is the likely diagnosis?</t>
  </si>
  <si>
    <t>Kallmann syndrome</t>
  </si>
  <si>
    <t>Empty sella syndrome</t>
  </si>
  <si>
    <t>Sheehan syndrome</t>
  </si>
  <si>
    <t>Adrenal carcinoma</t>
  </si>
  <si>
    <t>Pituitary Tumor Syndromes</t>
  </si>
  <si>
    <t>A 36-year-old woman presents with amenorrhea and galactorrhea. Prolactin is 110 ng/mL. MRI shows a 7-mm pituitary lesion. Visual fields are normal. Next best step?</t>
  </si>
  <si>
    <t>Neurosurgical referral</t>
  </si>
  <si>
    <t>Dopamine agonist therapy</t>
  </si>
  <si>
    <t>Radiation therapy</t>
  </si>
  <si>
    <t>A 50-year-old man with headaches, large hands, and deep voice has elevated IGF-1 and failure to suppress GH after oral glucose. MRI shows a 1.5 cm pituitary mass. What is the diagnosis?</t>
  </si>
  <si>
    <t>Prolactinoma</t>
  </si>
  <si>
    <t>Acromegaly</t>
  </si>
  <si>
    <t>Craniopharyngioma</t>
  </si>
  <si>
    <t>Cushing disease</t>
  </si>
  <si>
    <t>A 60-year-old woman presents with bitemporal hemianopia. MRI shows a 3-cm pituitary macroadenoma compressing the optic chiasm. What is the initial treatment?</t>
  </si>
  <si>
    <t>Radiation</t>
  </si>
  <si>
    <t>Corticosteroids</t>
  </si>
  <si>
    <t>Dopamine agonist</t>
  </si>
  <si>
    <t>A 40-year-old woman with Cushingoid features has elevated ACTH and cortisol that do not suppress with dexamethasone. MRI shows no clear pituitary mass. What is the next best test?</t>
  </si>
  <si>
    <t>Inferior petrosal sinus sampling</t>
  </si>
  <si>
    <t>High-dose dexamethasone suppression</t>
  </si>
  <si>
    <t>24-hour urinary cortisol</t>
  </si>
  <si>
    <t>A</t>
  </si>
  <si>
    <t>A man presents with visual changes, low testosterone, and fatigue. MRI reveals a nonfunctioning pituitary macroadenoma. Prolactin is 20 ng/mL. What is the next step?</t>
  </si>
  <si>
    <t>Monitor in 6 months</t>
  </si>
  <si>
    <t>Transsphenoidal resection</t>
  </si>
  <si>
    <t>Diabetes Insipidus &amp; SIADH</t>
  </si>
  <si>
    <t>A 48-year-old man with recent neurosurgery presents with polyuria, polydipsia, and serum Na of 151 mEq/L. Urine osmolality is 90 mOsm/kg. What is the most likely cause?</t>
  </si>
  <si>
    <t>Primary polydipsia</t>
  </si>
  <si>
    <t>SIADH</t>
  </si>
  <si>
    <t>Central diabetes insipidus</t>
  </si>
  <si>
    <t>Nephrogenic diabetes insipidus</t>
  </si>
  <si>
    <t>A patient presents with confusion and seizures. Na is 118 mEq/L, serum osmolality is low, and urine Na is 40 mEq/L. Urine osmolality is 600 mOsm/kg. What is the likely cause?</t>
  </si>
  <si>
    <t>Adrenal insufficiency</t>
  </si>
  <si>
    <t>Psychogenic polydipsia</t>
  </si>
  <si>
    <t>Diuretic abuse</t>
  </si>
  <si>
    <t>A patient is diagnosed with central diabetes insipidus. What is the most appropriate long-term treatment?</t>
  </si>
  <si>
    <t>IV fluids</t>
  </si>
  <si>
    <t>Furosemide</t>
  </si>
  <si>
    <t>Salt tablets</t>
  </si>
  <si>
    <t>Which of the following lab results is most consistent with nephrogenic diabetes insipidus?</t>
  </si>
  <si>
    <t>Hypernatremia,  high urine osmolality</t>
  </si>
  <si>
    <t>Hyponatremia, high urine Na</t>
  </si>
  <si>
    <t>Hypernatremia, low urine osmolality</t>
  </si>
  <si>
    <t>Hyponatremia, low serum osmolality</t>
  </si>
  <si>
    <t>A patient with lung cancer is found to have persistent hyponatremia and high urine sodium. Which of the following is the most likely cause?</t>
  </si>
  <si>
    <t>ACTH deficiency</t>
  </si>
  <si>
    <t>Nephrotic syndrome</t>
  </si>
  <si>
    <t>Hypothyroidism</t>
  </si>
  <si>
    <t>A 52-year-old woman presents with fatigue, cold intolerance, and constipation. TSH is 18 Î¼U/mL, and free T4 is low. Anti-TPO antibodies are positive. What is the most likely diagnosis?</t>
  </si>
  <si>
    <t>Central hypothyroidism</t>
  </si>
  <si>
    <t>Graves disease</t>
  </si>
  <si>
    <t>Hashimoto thyroiditis</t>
  </si>
  <si>
    <t>De Quervain thyroiditis</t>
  </si>
  <si>
    <t>A patient with known hypothyroidism presents with hypothermia, bradycardia, and altered mental status. What is the most appropriate immediate intervention?</t>
  </si>
  <si>
    <t>Oral levothyroxine</t>
  </si>
  <si>
    <t>IV levothyroxine and IV hydrocortisone</t>
  </si>
  <si>
    <t>External rewarming only</t>
  </si>
  <si>
    <t>Observation and follow-up labs</t>
  </si>
  <si>
    <t>A 60-year-old woman with hypothyroidism has persistently elevated TSH despite increasing levothyroxine dose. She admits to taking her medication with breakfast. Whatâ€™s the next step?</t>
  </si>
  <si>
    <t>Increase the dose</t>
  </si>
  <si>
    <t>Switch to T3</t>
  </si>
  <si>
    <t>Advise taking levothyroxine on an empty stomach</t>
  </si>
  <si>
    <t>Add liothyronine</t>
  </si>
  <si>
    <t>Which of the following symptoms is most specific for hypothyroidism?</t>
  </si>
  <si>
    <t>Fatigue</t>
  </si>
  <si>
    <t>Weight gain</t>
  </si>
  <si>
    <t>Cold intolerance</t>
  </si>
  <si>
    <t>Delayed deep tendon reflexes</t>
  </si>
  <si>
    <t>D</t>
  </si>
  <si>
    <t>A 45-year-old woman with pituitary adenoma resection develops fatigue and dry skin. TSH is 1.0 (normal), free T4 is low. What is the most likely diagnosis?</t>
  </si>
  <si>
    <t>Secondary hypothyroidism</t>
  </si>
  <si>
    <t>Thyroid hormone resistance</t>
  </si>
  <si>
    <t>Sick euthyroid syndrome</t>
  </si>
  <si>
    <t>Hyperthyroidism (Thyrotoxicosis)</t>
  </si>
  <si>
    <t>A 34-year-old woman presents with weight loss, palpitations, and heat intolerance. TSH is suppressed, free T4 is elevated, and TSI antibodies are positive. What is the diagnosis?</t>
  </si>
  <si>
    <t>Toxic multinodular goiter</t>
  </si>
  <si>
    <t>Subacute thyroiditis</t>
  </si>
  <si>
    <t>Pituitary adenoma</t>
  </si>
  <si>
    <t>A patient with new-onset atrial fibrillation is found to have suppressed TSH and elevated T4. What is the best next step?</t>
  </si>
  <si>
    <t>Beta-blocker and methimazole</t>
  </si>
  <si>
    <t>Immediate thyroidectomy</t>
  </si>
  <si>
    <t>Radioactive iodine therapy</t>
  </si>
  <si>
    <t>Observation</t>
  </si>
  <si>
    <t>A 40-year-old man presents with weight loss and tremor. RAIU scan shows low uptake. What is the most likely cause?</t>
  </si>
  <si>
    <t>Toxic adenoma</t>
  </si>
  <si>
    <t>TSH-secreting pituitary tumor</t>
  </si>
  <si>
    <t>Which of the following is a potential side effect of methimazole?</t>
  </si>
  <si>
    <t>Hepatitis</t>
  </si>
  <si>
    <t>Agranulocytosis</t>
  </si>
  <si>
    <t>Hypokalemia</t>
  </si>
  <si>
    <t>Bradycardia</t>
  </si>
  <si>
    <t>A patient with Graves disease is started on methimazole and beta-blockers. Three weeks later, he develops fever and sore throat. What is the next step?</t>
  </si>
  <si>
    <t>Prescribe antibiotics</t>
  </si>
  <si>
    <t>Continue therapy</t>
  </si>
  <si>
    <t>Check WBC count</t>
  </si>
  <si>
    <t>Discontinue beta-blocker</t>
  </si>
  <si>
    <t>Thyroid Nodules &amp; Cancer</t>
  </si>
  <si>
    <t>A 55-year-old woman has a 2-cm thyroid nodule. TSH is normal. Ultrasound shows microcalcifications and irregular margins. What is the next step?</t>
  </si>
  <si>
    <t>Repeat ultrasound in 6 months</t>
  </si>
  <si>
    <t>Start levothyroxine suppression therapy</t>
  </si>
  <si>
    <t>FNA biopsy</t>
  </si>
  <si>
    <t>Radioiodine scan</t>
  </si>
  <si>
    <t>A patient has a cold thyroid nodule on radioiodine scan. What is the most appropriate management?</t>
  </si>
  <si>
    <t>Observe</t>
  </si>
  <si>
    <t>Start antithyroid medications</t>
  </si>
  <si>
    <t>Reassure and discharge</t>
  </si>
  <si>
    <t>What is the most common type of thyroid cancer?</t>
  </si>
  <si>
    <t>Medullary</t>
  </si>
  <si>
    <t>Follicular</t>
  </si>
  <si>
    <t>Anaplastic</t>
  </si>
  <si>
    <t>Papillary</t>
  </si>
  <si>
    <t>Which thyroid cancer is associated with RET proto-oncogene mutations?</t>
  </si>
  <si>
    <t>A thyroid FNA shows "Hurthle cells." Which is the most appropriate interpretation?</t>
  </si>
  <si>
    <t>Anaplastic carcinoma</t>
  </si>
  <si>
    <t>Suggestive of malignancy but not diagnostic</t>
  </si>
  <si>
    <t>Pathognomonic for papillary cancer</t>
  </si>
  <si>
    <t>Diagnostic of benign lesion</t>
  </si>
  <si>
    <t>Adrenal Insufficiency (Addisonâ€™s)</t>
  </si>
  <si>
    <t>A 42-year-old woman presents with fatigue, hypotension, hyperpigmentation, and hyponatremia. Her cortisol is low, and ACTH is elevated. What is the diagnosis?</t>
  </si>
  <si>
    <t>Central adrenal insufficiency</t>
  </si>
  <si>
    <t>Cushing syndrome</t>
  </si>
  <si>
    <t>Primary adrenal insufficiency</t>
  </si>
  <si>
    <t>A patient with suspected Addison disease undergoes ACTH stimulation testing. Baseline cortisol is 4 Î¼g/dL, and post-ACTH is 5 Î¼g/dL. What does this indicate?</t>
  </si>
  <si>
    <t>Normal adrenal function</t>
  </si>
  <si>
    <t>Pituitary macroadenoma</t>
  </si>
  <si>
    <t>What electrolyte abnormality is most characteristic of primary adrenal insufficiency?</t>
  </si>
  <si>
    <t>Hypernatremia</t>
  </si>
  <si>
    <t>Hypercalcemia</t>
  </si>
  <si>
    <t>Hyperkalemia</t>
  </si>
  <si>
    <t>A patient with known adrenal insufficiency is scheduled for surgery. What is the appropriate perioperative management?</t>
  </si>
  <si>
    <t>Continue home dose</t>
  </si>
  <si>
    <t>Increase oral fludrocortisone</t>
  </si>
  <si>
    <t>Administer stress-dose IV hydrocortisone</t>
  </si>
  <si>
    <t>Withhold steroids</t>
  </si>
  <si>
    <t>Which of the following is the most common cause of Addison disease in developed countries?</t>
  </si>
  <si>
    <t>Tuberculosis</t>
  </si>
  <si>
    <t>Autoimmune adrenalitis</t>
  </si>
  <si>
    <t>Fungal infection</t>
  </si>
  <si>
    <t>Metastasis</t>
  </si>
  <si>
    <t>Cushing Syndrome</t>
  </si>
  <si>
    <t>A 38-year-old woman presents with weight gain, proximal weakness, and facial fullness. Labs show elevated cortisol and loss of diurnal variation. What is the most likely cause?</t>
  </si>
  <si>
    <t>Exogenous steroid use</t>
  </si>
  <si>
    <t>ACTH-producing pituitary adenoma</t>
  </si>
  <si>
    <t>Ectopic ACTH production</t>
  </si>
  <si>
    <t>A patient with hypertension and glucose intolerance has an elevated 24-hour urinary cortisol and suppressed ACTH. Next step?</t>
  </si>
  <si>
    <t>MRI brain</t>
  </si>
  <si>
    <t>Dexamethasone suppression test</t>
  </si>
  <si>
    <t>Abdominal CT</t>
  </si>
  <si>
    <t>High-dose dexamethasone test</t>
  </si>
  <si>
    <t>Which of the following is most specific for endogenous Cushing syndrome?</t>
  </si>
  <si>
    <t>Violaceous striae</t>
  </si>
  <si>
    <t>Hypertension</t>
  </si>
  <si>
    <t>Moon facies</t>
  </si>
  <si>
    <t>What is the most sensitive initial test for Cushing syndrome?</t>
  </si>
  <si>
    <t>Plasma ACTH</t>
  </si>
  <si>
    <t>Low-dose dexamethasone suppression test</t>
  </si>
  <si>
    <t>ACTH stimulation test</t>
  </si>
  <si>
    <t>Morning cortisol</t>
  </si>
  <si>
    <t>A patient with Cushing disease undergoes surgery but remains hypercortisolemic. Next best step?</t>
  </si>
  <si>
    <t>Re-operation</t>
  </si>
  <si>
    <t>Metyrapone</t>
  </si>
  <si>
    <t>A 40-year-old woman has episodic headache, sweating, and palpitations. BP is 180/110. Plasma metanephrines are elevated. What is the diagnosis?</t>
  </si>
  <si>
    <t>Hyperthyroidism</t>
  </si>
  <si>
    <t>Essential hypertension</t>
  </si>
  <si>
    <t>A patient with confirmed pheochromocytoma is scheduled for surgery. What is the appropriate preoperative step?</t>
  </si>
  <si>
    <t>Beta-blockers only</t>
  </si>
  <si>
    <t>Start alpha-blockers first</t>
  </si>
  <si>
    <t>Avoid any blockers</t>
  </si>
  <si>
    <t>Start corticosteroids</t>
  </si>
  <si>
    <t>What is the best imaging test to localize pheochromocytoma?</t>
  </si>
  <si>
    <t>Abdominal X-ray</t>
  </si>
  <si>
    <t>CT scan</t>
  </si>
  <si>
    <t>MRI abdomen</t>
  </si>
  <si>
    <t>FDG-PET</t>
  </si>
  <si>
    <t>Which genetic syndrome is commonly associated with pheochromocytoma?</t>
  </si>
  <si>
    <t>MEN 1</t>
  </si>
  <si>
    <t>MEN 2A</t>
  </si>
  <si>
    <t>Tuberous sclerosis</t>
  </si>
  <si>
    <t>McCune-Albright</t>
  </si>
  <si>
    <t>Which of the following findings suggests a malignant pheochromocytoma?</t>
  </si>
  <si>
    <t>Size &gt;3 cm</t>
  </si>
  <si>
    <t>Extra-adrenal location</t>
  </si>
  <si>
    <t>Elevated normetanephrines</t>
  </si>
  <si>
    <t>Positive genetic testing</t>
  </si>
  <si>
    <t>Primary Hyperaldosteronism</t>
  </si>
  <si>
    <t>A 48-year-old man has hypertension and persistent hypokalemia. Aldosterone is elevated and renin is suppressed. What is the most likely diagnosis?</t>
  </si>
  <si>
    <t>Primary hyperaldosteronism</t>
  </si>
  <si>
    <t>Secondary hyperaldosteronism</t>
  </si>
  <si>
    <t>Renal artery stenosis</t>
  </si>
  <si>
    <t>What is the first confirmatory test for primary aldosteronism after high aldosterone:renin ratio?</t>
  </si>
  <si>
    <t>Saline infusion test</t>
  </si>
  <si>
    <t>CT abdomen</t>
  </si>
  <si>
    <t>Which of the following is a common cause of primary aldosteronism?</t>
  </si>
  <si>
    <t>Bilateral adrenal hyperplasia</t>
  </si>
  <si>
    <t>Renin-secreting tumor</t>
  </si>
  <si>
    <t>Pituitary microadenoma</t>
  </si>
  <si>
    <t>Adrenal hemorrhage</t>
  </si>
  <si>
    <t>What is the treatment of choice for unilateral aldosterone-producing adenoma?</t>
  </si>
  <si>
    <t>Spironolactone</t>
  </si>
  <si>
    <t>Bilateral adrenalectomy</t>
  </si>
  <si>
    <t>Unilateral adrenalectomy</t>
  </si>
  <si>
    <t>ACE inhibitor</t>
  </si>
  <si>
    <t>A patient is diagnosed with primary aldosteronism but is not a surgical candidate. What is the best medical treatment?</t>
  </si>
  <si>
    <t>Multiple Endocrine Neoplasia Syndromes</t>
  </si>
  <si>
    <t>A 35-year-old man presents with recurrent peptic ulcers and diarrhea. Labs show elevated gastrin levels. Family history includes endocrine tumors. What is the likely diagnosis?</t>
  </si>
  <si>
    <t>MEN 2B</t>
  </si>
  <si>
    <t>Von Hippelâ€“Lindau syndrome</t>
  </si>
  <si>
    <t>A patient with medullary thyroid cancer, pheochromocytoma, and hyperparathyroidism most likely has which genetic syndrome?</t>
  </si>
  <si>
    <t>Carney complex</t>
  </si>
  <si>
    <t>A 28-year-old man with mucosal neuromas and marfanoid habitus is diagnosed with medullary thyroid carcinoma. What syndrome does he likely have?</t>
  </si>
  <si>
    <t>APS II</t>
  </si>
  <si>
    <t>What is the recommended preventive strategy in RET-mutation carriers for medullary thyroid carcinoma?</t>
  </si>
  <si>
    <t>Annual FNA biopsy</t>
  </si>
  <si>
    <t>Levothyroxine therapy</t>
  </si>
  <si>
    <t>Prophylactic thyroidectomy</t>
  </si>
  <si>
    <t>Radioiodine ablation</t>
  </si>
  <si>
    <t>A 40-year-old woman has a pancreatic neuroendocrine tumor and a pituitary prolactinoma. What is the likely underlying genetic mutation?</t>
  </si>
  <si>
    <t>RET</t>
  </si>
  <si>
    <t>MEN1</t>
  </si>
  <si>
    <t>TP53</t>
  </si>
  <si>
    <t>VHL</t>
  </si>
  <si>
    <t>Autoimmune Polyendocrine Syndromes</t>
  </si>
  <si>
    <t>A child presents with chronic mucocutaneous candidiasis, hypoparathyroidism, and adrenal insufficiency. What syndrome is most likely?</t>
  </si>
  <si>
    <t>APS I</t>
  </si>
  <si>
    <t>DiGeorge syndrome</t>
  </si>
  <si>
    <t>A 30-year-old woman has Addisonâ€™s disease, autoimmune thyroiditis, and type 1 diabetes mellitus. What syndrome does she likely have?</t>
  </si>
  <si>
    <t>IPEX syndrome</t>
  </si>
  <si>
    <t>APS type I is most commonly due to a mutation in which gene?</t>
  </si>
  <si>
    <t>FOXP3</t>
  </si>
  <si>
    <t>AIRE</t>
  </si>
  <si>
    <t>HLA-DR3</t>
  </si>
  <si>
    <t>What is the most common presenting feature of APS II?</t>
  </si>
  <si>
    <t>Hypoparathyroidism</t>
  </si>
  <si>
    <t>Type 1 diabetes</t>
  </si>
  <si>
    <t>Chronic mucocutaneous candidiasis</t>
  </si>
  <si>
    <t>Addisonâ€™s disease</t>
  </si>
  <si>
    <t>A patient with APS I is at increased risk for which of the following infections?</t>
  </si>
  <si>
    <t>Cryptococcus</t>
  </si>
  <si>
    <t>Candidiasis</t>
  </si>
  <si>
    <t>Aspergillosis</t>
  </si>
  <si>
    <t>Disorders of Sex Development</t>
  </si>
  <si>
    <t>A newborn with ambiguous genitalia has a karyotype of 46,XX and elevated 17-hydroxyprogesterone. What is the most likely cause?</t>
  </si>
  <si>
    <t>Androgen insensitivity</t>
  </si>
  <si>
    <t>5-alpha-reductase deficiency</t>
  </si>
  <si>
    <t>Congenital adrenal hyperplasia</t>
  </si>
  <si>
    <t>Klinefelter syndrome</t>
  </si>
  <si>
    <t>A 17-year-old phenotypic female presents with primary amenorrhea and no uterus on imaging. Karyotype is 46,XY. What is the most likely diagnosis?</t>
  </si>
  <si>
    <t>Mullerian agenesis</t>
  </si>
  <si>
    <t>Androgen insensitivity syndrome</t>
  </si>
  <si>
    <t>Turner syndrome</t>
  </si>
  <si>
    <t>A 15-year-old girl presents with primary amenorrhea, short stature, and webbed neck. Karyotype is 45,XO. What is the diagnosis?</t>
  </si>
  <si>
    <t>Noonan syndrome</t>
  </si>
  <si>
    <t>Swyer syndrome</t>
  </si>
  <si>
    <t>A child with ambiguous genitalia has a karyotype of 46,XY and low testosterone and DHT levels. What enzyme is likely deficient?</t>
  </si>
  <si>
    <t>Aromatase</t>
  </si>
  <si>
    <t>17-alpha-hydroxylase</t>
  </si>
  <si>
    <t>5-alpha-reductase</t>
  </si>
  <si>
    <t>21-hydroxylase</t>
  </si>
  <si>
    <t>Which of the following is a feature of complete androgen insensitivity syndrome?</t>
  </si>
  <si>
    <t>Small uterus</t>
  </si>
  <si>
    <t>Normal ovaries</t>
  </si>
  <si>
    <t>Absent uterus and testes in abdomen</t>
  </si>
  <si>
    <t>Normal menstruation</t>
  </si>
  <si>
    <t>Male Hypogonadism &amp; Testosterone Disorders</t>
  </si>
  <si>
    <t>A 50-year-old man presents with low libido and fatigue. Labs show low testosterone and high LH/FSH. What is the diagnosis?</t>
  </si>
  <si>
    <t>Primary hypogonadism</t>
  </si>
  <si>
    <t>Secondary hypogonadism</t>
  </si>
  <si>
    <t>Hyperprolactinemia</t>
  </si>
  <si>
    <t>A 24-year-old man with infertility has small, firm testes and gynecomastia. Karyotype is 47,XXY. What is the diagnosis?</t>
  </si>
  <si>
    <t>Prader-Willi syndrome</t>
  </si>
  <si>
    <t>Which of the following is a contraindication to testosterone replacement?</t>
  </si>
  <si>
    <t>Osteoporosis</t>
  </si>
  <si>
    <t>Prostate cancer</t>
  </si>
  <si>
    <t>Erectile dysfunction</t>
  </si>
  <si>
    <t>What lab test should be monitored during testosterone therapy?</t>
  </si>
  <si>
    <t>Platelet count</t>
  </si>
  <si>
    <t>PSA level</t>
  </si>
  <si>
    <t>ACTH</t>
  </si>
  <si>
    <t>TSH</t>
  </si>
  <si>
    <t>A man with low testosterone and low LH/FSH should be evaluated for which of the following first?</t>
  </si>
  <si>
    <t>Pituitary MRI</t>
  </si>
  <si>
    <t>Thyroid ultrasound</t>
  </si>
  <si>
    <t>Prostate biopsy</t>
  </si>
  <si>
    <t>Genetic testing</t>
  </si>
  <si>
    <t>Female Reproductive Endocrine Disorders</t>
  </si>
  <si>
    <t>A 26-year-old woman presents with hirsutism, acne, and irregular periods. Ultrasound shows enlarged ovaries with multiple small follicles. LH:FSH ratio is 3:1. Diagnosis?</t>
  </si>
  <si>
    <t>PCOS</t>
  </si>
  <si>
    <t>What is the first-line treatment for menstrual irregularity in PCOS?</t>
  </si>
  <si>
    <t>Metformin</t>
  </si>
  <si>
    <t>Combined oral contraceptives</t>
  </si>
  <si>
    <t>A 32-year-old woman with PCOS wants to get pregnant. What is the first-line ovulation induction agent?</t>
  </si>
  <si>
    <t>Clomiphene citrate</t>
  </si>
  <si>
    <t>Letrozole</t>
  </si>
  <si>
    <t>hCG injection</t>
  </si>
  <si>
    <t>Which of the following is a common metabolic feature of PCOS?</t>
  </si>
  <si>
    <t>Insulin resistance</t>
  </si>
  <si>
    <t>Hypoglycemia</t>
  </si>
  <si>
    <t>A woman with PCOS is most at risk for developing which type of cancer?</t>
  </si>
  <si>
    <t>Cervical</t>
  </si>
  <si>
    <t>Endometrial</t>
  </si>
  <si>
    <t>Ovarian</t>
  </si>
  <si>
    <t>Breast</t>
  </si>
  <si>
    <t>Menopause and Hormone Therapy</t>
  </si>
  <si>
    <t>A 52-year-old woman has hot flashes and irregular menses. FSH is elevated. What is the most likely diagnosis?</t>
  </si>
  <si>
    <t>Polycystic ovarian syndrome</t>
  </si>
  <si>
    <t>Premature ovarian failure</t>
  </si>
  <si>
    <t>Menopause</t>
  </si>
  <si>
    <t>A postmenopausal woman with vasomotor symptoms and no uterus is considering hormone therapy. What is the most appropriate regimen?</t>
  </si>
  <si>
    <t>Estrogen alone</t>
  </si>
  <si>
    <t>Estrogen + progestin</t>
  </si>
  <si>
    <t>Progestin only</t>
  </si>
  <si>
    <t>Tibolone</t>
  </si>
  <si>
    <t>What is the major risk associated with unopposed estrogen therapy in a woman with an intact uterus?</t>
  </si>
  <si>
    <t>Coronary artery disease</t>
  </si>
  <si>
    <t>Endometrial cancer</t>
  </si>
  <si>
    <t>Vaginal atrophy</t>
  </si>
  <si>
    <t>A woman with history of breast cancer has menopausal symptoms. Which is the safest therapy for symptom relief?</t>
  </si>
  <si>
    <t>Oral estrogen</t>
  </si>
  <si>
    <t>Topical estrogen</t>
  </si>
  <si>
    <t>SSRIs</t>
  </si>
  <si>
    <t>Combined HRT</t>
  </si>
  <si>
    <t>Which of the following is an FDA-approved nonhormonal therapy for vasomotor symptoms?</t>
  </si>
  <si>
    <t>Clonidine</t>
  </si>
  <si>
    <t>Gabapentin</t>
  </si>
  <si>
    <t>Venlafaxine</t>
  </si>
  <si>
    <t>Oxybutynin</t>
  </si>
  <si>
    <t>Infertility and Contraception</t>
  </si>
  <si>
    <t>A 28-year-old woman has infertility and regular cycles. Labs show normal TSH, prolactin, and progesterone. Partner's semen analysis is normal. What is the next best step?</t>
  </si>
  <si>
    <t>Laparoscopy</t>
  </si>
  <si>
    <t>Tubal patency testing</t>
  </si>
  <si>
    <t>FSH level</t>
  </si>
  <si>
    <t>Ovulation induction</t>
  </si>
  <si>
    <t>What is the most common cause of infertility in women under 35 years old?</t>
  </si>
  <si>
    <t>Tubal obstruction</t>
  </si>
  <si>
    <t>Anovulation</t>
  </si>
  <si>
    <t>Endometriosis</t>
  </si>
  <si>
    <t>A woman is on levonorgestrel IUD and develops amenorrhea. What is the next best step?</t>
  </si>
  <si>
    <t>Remove IUD</t>
  </si>
  <si>
    <t>Reassure</t>
  </si>
  <si>
    <t>Start estrogen therapy</t>
  </si>
  <si>
    <t>Check FSH</t>
  </si>
  <si>
    <t>Which contraceptive method is contraindicated in a woman with history of DVT?</t>
  </si>
  <si>
    <t>Copper IUD</t>
  </si>
  <si>
    <t>Progestin-only pill</t>
  </si>
  <si>
    <t>Barrier methods</t>
  </si>
  <si>
    <t>Which hormone is primarily responsible for ovulation?</t>
  </si>
  <si>
    <t>FSH</t>
  </si>
  <si>
    <t>LH surge</t>
  </si>
  <si>
    <t>Estradiol</t>
  </si>
  <si>
    <t>Progesterone</t>
  </si>
  <si>
    <t>Diabetes Mellitus â€“ Diagnosis &amp; Pathophysiology</t>
  </si>
  <si>
    <t>A 45-year-old man with BMI 32 has fasting glucose of 129 mg/dL. What is the appropriate diagnosis?</t>
  </si>
  <si>
    <t>Normal</t>
  </si>
  <si>
    <t>Impaired fasting glucose</t>
  </si>
  <si>
    <t>Diabetes mellitus</t>
  </si>
  <si>
    <t>Metabolic syndrome</t>
  </si>
  <si>
    <t>Which of the following HbA1c levels confirms a diagnosis of diabetes?</t>
  </si>
  <si>
    <t>A 19-year-old girl presents with polyuria, polydipsia, weight loss, and DKA. What is the most likely type of diabetes?</t>
  </si>
  <si>
    <t>MODY</t>
  </si>
  <si>
    <t>Type 1</t>
  </si>
  <si>
    <t>Type 2</t>
  </si>
  <si>
    <t>Secondary to Cushingâ€™s</t>
  </si>
  <si>
    <t>What is the most common cause of type 2 diabetes mellitus?</t>
  </si>
  <si>
    <t>Autoimmunity</t>
  </si>
  <si>
    <t>Î²-cell destruction</t>
  </si>
  <si>
    <t>Amyloid deposition</t>
  </si>
  <si>
    <t>Which of the following is  not  part of the diagnostic criteria for metabolic syndrome?</t>
  </si>
  <si>
    <t>Elevated triglycerides</t>
  </si>
  <si>
    <t>Low HDL</t>
  </si>
  <si>
    <t>Increased waist circumference</t>
  </si>
  <si>
    <t>High fasting glucose &gt;200 mg/dL</t>
  </si>
  <si>
    <t>Diabetes Mellitus â€“ Management &amp; Therapies</t>
  </si>
  <si>
    <t>What is the first-line pharmacologic agent for type 2 diabetes?</t>
  </si>
  <si>
    <t>Insulin</t>
  </si>
  <si>
    <t>Sulfonylurea</t>
  </si>
  <si>
    <t>DPP-4 inhibitor</t>
  </si>
  <si>
    <t>A diabetic patient with atherosclerotic cardiovascular disease should be started on which additional agent?</t>
  </si>
  <si>
    <t>Pioglitazone</t>
  </si>
  <si>
    <t>GLP-1 receptor agonist</t>
  </si>
  <si>
    <t>Acarbose</t>
  </si>
  <si>
    <t>Which class of antidiabetic drugs increases risk of genital yeast infections?</t>
  </si>
  <si>
    <t>DPP-4 inhibitors</t>
  </si>
  <si>
    <t>SGLT2 inhibitors</t>
  </si>
  <si>
    <t>GLP-1 agonists</t>
  </si>
  <si>
    <t>Sulfonylureas</t>
  </si>
  <si>
    <t>A patient with chronic kidney disease and diabetes is started on empagliflozin. What benefit is expected?</t>
  </si>
  <si>
    <t>Lower insulin dose</t>
  </si>
  <si>
    <t>Weight gain prevention</t>
  </si>
  <si>
    <t>Renal protection</t>
  </si>
  <si>
    <t>Risk of hypoglycemia</t>
  </si>
  <si>
    <t>Which of the following agents causes the greatest HbA1c reduction?</t>
  </si>
  <si>
    <t>Diabetes Mellitus â€“ Complications</t>
  </si>
  <si>
    <t>What is the earliest clinical sign of diabetic nephropathy?</t>
  </si>
  <si>
    <t>Elevated creatinine</t>
  </si>
  <si>
    <t>Proteinuria &gt;3 g/day</t>
  </si>
  <si>
    <t>Microalbuminuria</t>
  </si>
  <si>
    <t>A diabetic patient presents with severe foot pain and decreased ankle reflexes. What is the most likely diagnosis?</t>
  </si>
  <si>
    <t>Charcot joint</t>
  </si>
  <si>
    <t>Peripheral neuropathy</t>
  </si>
  <si>
    <t>DVT</t>
  </si>
  <si>
    <t>Cellulitis</t>
  </si>
  <si>
    <t>A patient with diabetes becomes confused and sweaty after skipping lunch. Glucose is 48 mg/dL. What is the most likely cause?</t>
  </si>
  <si>
    <t>DKA</t>
  </si>
  <si>
    <t>HHS</t>
  </si>
  <si>
    <t>Sepsis</t>
  </si>
  <si>
    <t>What is the most common cause of death in patients with diabetes?</t>
  </si>
  <si>
    <t>Renal failure</t>
  </si>
  <si>
    <t>Cardiovascular disease</t>
  </si>
  <si>
    <t>Diabetic ketoacidosis</t>
  </si>
  <si>
    <t>A diabetic patient has background retinopathy. What finding supports this?</t>
  </si>
  <si>
    <t>Macular edema</t>
  </si>
  <si>
    <t>Vitreous hemorrhage</t>
  </si>
  <si>
    <t>Microaneurysms</t>
  </si>
  <si>
    <t>Neovascularization</t>
  </si>
  <si>
    <t>Obesity and Bariatric Surgery</t>
  </si>
  <si>
    <t>A 44-year-old woman with a BMI of 42 and poorly controlled type 2 diabetes asks about bariatric surgery. What is the most appropriate recommendation?</t>
  </si>
  <si>
    <t>Not eligible until BMI â‰¥45</t>
  </si>
  <si>
    <t>Recommend gastric bypass</t>
  </si>
  <si>
    <t>Recommend gastric balloon</t>
  </si>
  <si>
    <t>Start phentermine</t>
  </si>
  <si>
    <t>Which of the following is a common micronutrient deficiency after Roux-en-Y gastric bypass?</t>
  </si>
  <si>
    <t>Vitamin A</t>
  </si>
  <si>
    <t>Vitamin B12</t>
  </si>
  <si>
    <t>Vitamin C</t>
  </si>
  <si>
    <t>Potassium</t>
  </si>
  <si>
    <t>A 39-year-old man with class III obesity undergoes sleeve gastrectomy. Two months later, he presents with dizziness and hypoglycemia after meals. What is the diagnosis?</t>
  </si>
  <si>
    <t>Insulinoma</t>
  </si>
  <si>
    <t>Dumping syndrome</t>
  </si>
  <si>
    <t>Addison disease</t>
  </si>
  <si>
    <t>Gastroparesis</t>
  </si>
  <si>
    <t>What is the first-line treatment for class II obesity with comorbid hypertension and sleep apnea?</t>
  </si>
  <si>
    <t>Orlistat</t>
  </si>
  <si>
    <t>Phentermine</t>
  </si>
  <si>
    <t>Lifestyle modification</t>
  </si>
  <si>
    <t>Bariatric surgery</t>
  </si>
  <si>
    <t>Which bariatric procedure is most associated with improvement in diabetes remission?</t>
  </si>
  <si>
    <t>Gastric banding</t>
  </si>
  <si>
    <t>Sleeve gastrectomy</t>
  </si>
  <si>
    <t>Roux-en-Y gastric bypass</t>
  </si>
  <si>
    <t>Intragastric balloon</t>
  </si>
  <si>
    <t>Lipid Disorders and Dyslipidemia</t>
  </si>
  <si>
    <t>A 52-year-old man with LDL of 198 mg/dL and no other comorbidities is evaluated for primary prevention. What is the next step?</t>
  </si>
  <si>
    <t>Start statin</t>
  </si>
  <si>
    <t>Lifestyle change only</t>
  </si>
  <si>
    <t>Check HDL</t>
  </si>
  <si>
    <t>Prescribe ezetimibe</t>
  </si>
  <si>
    <t>What is the mechanism of action of statins?</t>
  </si>
  <si>
    <t>Inhibit intestinal cholesterol absorption</t>
  </si>
  <si>
    <t>Activate PPAR-alpha</t>
  </si>
  <si>
    <t>Inhibit HMG-CoA reductase</t>
  </si>
  <si>
    <t>Block PCSK9</t>
  </si>
  <si>
    <t>A patient on a high-dose statin reports muscle pain and weakness. CK is mildly elevated. What is the next best step?</t>
  </si>
  <si>
    <t>Stop statin permanently</t>
  </si>
  <si>
    <t>Add gemfibrozil</t>
  </si>
  <si>
    <t>Temporarily hold statin and reassess</t>
  </si>
  <si>
    <t>Start niacin</t>
  </si>
  <si>
    <t>Which lipid-lowering agent increases the risk of gallstones when combined with statins?</t>
  </si>
  <si>
    <t>Ezetimibe</t>
  </si>
  <si>
    <t>Niacin</t>
  </si>
  <si>
    <t>Bile acid sequestrants</t>
  </si>
  <si>
    <t>Fibrates</t>
  </si>
  <si>
    <t>Which of the following most significantly lowers triglycerides?</t>
  </si>
  <si>
    <t>Statins</t>
  </si>
  <si>
    <t>Omega-3 fatty acids</t>
  </si>
  <si>
    <t>Bile acid resins</t>
  </si>
  <si>
    <t>Metabolic Syndrome and Insulin Resistance</t>
  </si>
  <si>
    <t>Which of the following is required to diagnose metabolic syndrome?</t>
  </si>
  <si>
    <t>Elevated HDL</t>
  </si>
  <si>
    <t>Elevated LDL</t>
  </si>
  <si>
    <t>Central obesity</t>
  </si>
  <si>
    <t>A 55-year-old man has BMI 35, fasting glucose 110 mg/dL, triglycerides 180, HDL 38, and BP 142/92. What is the diagnosis?</t>
  </si>
  <si>
    <t>Type 2 diabetes</t>
  </si>
  <si>
    <t>Cushingâ€™s syndrome</t>
  </si>
  <si>
    <t>What is the most important initial therapy for metabolic syndrome?</t>
  </si>
  <si>
    <t>Statin</t>
  </si>
  <si>
    <t>Which hormone is most implicated in the development of insulin resistance in metabolic syndrome?</t>
  </si>
  <si>
    <t>Leptin</t>
  </si>
  <si>
    <t>Cortisol</t>
  </si>
  <si>
    <t>Adiponectin</t>
  </si>
  <si>
    <t>Which of the following lipid abnormalities is most typical in metabolic syndrome?</t>
  </si>
  <si>
    <t>High HDL</t>
  </si>
  <si>
    <t>Low LDL</t>
  </si>
  <si>
    <t>High triglycerides</t>
  </si>
  <si>
    <t>High ApoA1</t>
  </si>
  <si>
    <t>Calcium Homeostasis &amp; Hypocalcemia</t>
  </si>
  <si>
    <t>A patient presents with perioral numbness and carpopedal spasm after thyroid surgery. Which lab result is expected?</t>
  </si>
  <si>
    <t>Low calcium</t>
  </si>
  <si>
    <t xml:space="preserve"> high PTH</t>
  </si>
  <si>
    <t>Low calcium, low PTH</t>
  </si>
  <si>
    <t>High calcium</t>
  </si>
  <si>
    <t>What is the most immediate treatment for symptomatic hypocalcemia?</t>
  </si>
  <si>
    <t>Oral calcium carbonate</t>
  </si>
  <si>
    <t>IV calcium gluconate</t>
  </si>
  <si>
    <t>Vitamin D</t>
  </si>
  <si>
    <t>Magnesium</t>
  </si>
  <si>
    <t>Which electrolyte abnormality commonly coexists with hypocalcemia?</t>
  </si>
  <si>
    <t>Hypomagnesemia</t>
  </si>
  <si>
    <t>Chvostek and Trousseau signs are characteristic of which condition?</t>
  </si>
  <si>
    <t>Hypocalcemia</t>
  </si>
  <si>
    <t>Hyperphosphatemia</t>
  </si>
  <si>
    <t>What is the most likely cause of hypocalcemia with elevated PTH?</t>
  </si>
  <si>
    <t>Pseudohypoparathyroidism</t>
  </si>
  <si>
    <t>Vitamin D intoxication</t>
  </si>
  <si>
    <t>Milk-alkali syndrome</t>
  </si>
  <si>
    <t>Hypercalcemia &amp; Parathyroid Disorders</t>
  </si>
  <si>
    <t>A 65-year-old woman with fatigue and constipation is found to have calcium of 12.5 mg/dL and PTH elevated. What is the diagnosis?</t>
  </si>
  <si>
    <t>Multiple myeloma</t>
  </si>
  <si>
    <t>Primary hyperparathyroidism</t>
  </si>
  <si>
    <t>Sarcoidosis</t>
  </si>
  <si>
    <t>Which is the most common cause of hypercalcemia in hospitalized patients?</t>
  </si>
  <si>
    <t>Vitamin D overdose</t>
  </si>
  <si>
    <t>Thiazide diuretics</t>
  </si>
  <si>
    <t>Malignancy</t>
  </si>
  <si>
    <t>A patient has low PTH, high calcium, and suppressed 1,25-OH vitamin D. What is the most likely cause?</t>
  </si>
  <si>
    <t>Granulomatous disease</t>
  </si>
  <si>
    <t>CKD</t>
  </si>
  <si>
    <t>Which medication lowers serum calcium rapidly in hypercalcemic crisis?</t>
  </si>
  <si>
    <t>Thiazide</t>
  </si>
  <si>
    <t>Calcitonin</t>
  </si>
  <si>
    <t>What is the definitive treatment for symptomatic parathyroid adenoma?</t>
  </si>
  <si>
    <t>Bisphosphonates</t>
  </si>
  <si>
    <t>Parathyroidectomy</t>
  </si>
  <si>
    <t>Cinacalcet</t>
  </si>
  <si>
    <t>Vitamin D Deficiency and Osteomalacia</t>
  </si>
  <si>
    <t>A 60-year-old woman presents with bone pain and muscle weakness. Labs show low calcium, low phosphate, and low 25-hydroxy vitamin D. What is the most likely diagnosis?</t>
  </si>
  <si>
    <t>Paget disease</t>
  </si>
  <si>
    <t>Osteomalacia</t>
  </si>
  <si>
    <t>What is the best initial test to evaluate suspected vitamin D deficiency?</t>
  </si>
  <si>
    <t>25-dihydroxy vitamin D</t>
  </si>
  <si>
    <t>25-hydroxy vitamin D</t>
  </si>
  <si>
    <t>Serum calcium</t>
  </si>
  <si>
    <t>PTH level</t>
  </si>
  <si>
    <t>Which population is most at risk for vitamin D deficiency?</t>
  </si>
  <si>
    <t>Young athletes</t>
  </si>
  <si>
    <t>Office workers with light skin</t>
  </si>
  <si>
    <t>Elderly institutionalized individuals</t>
  </si>
  <si>
    <t>Night-shift nurses with high sun exposure</t>
  </si>
  <si>
    <t>What is a characteristic radiographic finding in osteomalacia?</t>
  </si>
  <si>
    <t>Subperiosteal bone resorption</t>
  </si>
  <si>
    <t>Codfish vertebrae</t>
  </si>
  <si>
    <t>Looser zones (pseudofractures)</t>
  </si>
  <si>
    <t>Lytic lesions</t>
  </si>
  <si>
    <t>What is the first-line treatment for nutritional osteomalacia?</t>
  </si>
  <si>
    <t>High-dose calcium infusion</t>
  </si>
  <si>
    <t>Ergocalciferol supplementation</t>
  </si>
  <si>
    <t>Osteoporosis and Fragility Fractures</t>
  </si>
  <si>
    <t>A 70-year-old woman with a hip fracture is found to have a T-score of â€“2.8. What is the diagnosis?</t>
  </si>
  <si>
    <t>Osteopenia</t>
  </si>
  <si>
    <t>What is the most common site of osteoporotic fracture?</t>
  </si>
  <si>
    <t>Humerus</t>
  </si>
  <si>
    <t>Pelvis</t>
  </si>
  <si>
    <t>Vertebral body</t>
  </si>
  <si>
    <t>Skull</t>
  </si>
  <si>
    <t>Which of the following is a major risk factor for osteoporosis?</t>
  </si>
  <si>
    <t>Obesity</t>
  </si>
  <si>
    <t>Estrogen therapy</t>
  </si>
  <si>
    <t>Smoking</t>
  </si>
  <si>
    <t>Male sex</t>
  </si>
  <si>
    <t>What is the recommended initial pharmacologic treatment for osteoporosis in postmenopausal women at high fracture risk?</t>
  </si>
  <si>
    <t>Estrogen</t>
  </si>
  <si>
    <t>Raloxifene</t>
  </si>
  <si>
    <t>Alendronate</t>
  </si>
  <si>
    <t>Testosterone</t>
  </si>
  <si>
    <t>A patient on alendronate develops jaw pain and exposed bone. What is the likely complication?</t>
  </si>
  <si>
    <t>Osteosarcoma</t>
  </si>
  <si>
    <t>Mandibular fracture</t>
  </si>
  <si>
    <t>Osteonecrosis of the jaw</t>
  </si>
  <si>
    <t>Trigeminal neuralgia</t>
  </si>
  <si>
    <t>Paget Disease of Bone</t>
  </si>
  <si>
    <t>A 68-year-old man presents with hearing loss and skull enlargement. ALP is elevated, but calcium and phosphate are normal. What is the diagnosis?</t>
  </si>
  <si>
    <t>What is the first-line treatment for symptomatic Paget disease?</t>
  </si>
  <si>
    <t>Calcium</t>
  </si>
  <si>
    <t>What is the most feared complication of untreated Paget disease?</t>
  </si>
  <si>
    <t>Gout</t>
  </si>
  <si>
    <t>Anemia</t>
  </si>
  <si>
    <t>What imaging modality best assesses bony involvement in Paget disease?</t>
  </si>
  <si>
    <t>Plain X-ray</t>
  </si>
  <si>
    <t>Bone scan</t>
  </si>
  <si>
    <t>CT</t>
  </si>
  <si>
    <t>MRI</t>
  </si>
  <si>
    <t>Paget disease typically shows which pattern of bone remodeling?</t>
  </si>
  <si>
    <t>Decreased osteoclast activity</t>
  </si>
  <si>
    <t>Normal turnover</t>
  </si>
  <si>
    <t>Accelerated bone resorption and formation</t>
  </si>
  <si>
    <t>Decreased ALP activity</t>
  </si>
  <si>
    <t>Hyperphosphatemia and Hypophosphatemia</t>
  </si>
  <si>
    <t>A 62-year-old man with alcohol use disorder presents with weakness. Phosphate is 1.4 mg/dL. What is the likely cause?</t>
  </si>
  <si>
    <t>Excess dairy intake</t>
  </si>
  <si>
    <t>Vitamin D toxicity</t>
  </si>
  <si>
    <t>Malnutrition-related hypophosphatemia</t>
  </si>
  <si>
    <t>Which of the following is a complication of severe hypophosphatemia?</t>
  </si>
  <si>
    <t>Hyperreflexia</t>
  </si>
  <si>
    <t>Hemolysis</t>
  </si>
  <si>
    <t>Constipation</t>
  </si>
  <si>
    <t>What is the most common cause of hyperphosphatemia in hospitalized patients?</t>
  </si>
  <si>
    <t>Tumor lysis syndrome</t>
  </si>
  <si>
    <t>Overeating cheese</t>
  </si>
  <si>
    <t>Excess insulin</t>
  </si>
  <si>
    <t>In chronic kidney disease, elevated phosphate is primarily due to:</t>
  </si>
  <si>
    <t>Excess intake</t>
  </si>
  <si>
    <t>Increased bone release</t>
  </si>
  <si>
    <t>Decreased renal excretion</t>
  </si>
  <si>
    <t>What is the best treatment for asymptomatic hypophosphatemia (2.0 mg/dL)?</t>
  </si>
  <si>
    <t>IV phosphate</t>
  </si>
  <si>
    <t>Calcium gluconate</t>
  </si>
  <si>
    <t>Oral phosphate</t>
  </si>
  <si>
    <t>Sodium bicarbonate</t>
  </si>
  <si>
    <t>Multiple Myelomaâ€“related Endocrine/Bone Effects</t>
  </si>
  <si>
    <t>A 69-year-old man with fatigue and bone pain has hypercalcemia and lytic lesions. SPEP shows monoclonal spike. Diagnosis?</t>
  </si>
  <si>
    <t>Metastatic prostate cancer</t>
  </si>
  <si>
    <t>What is the primary mechanism of hypercalcemia in multiple myeloma?</t>
  </si>
  <si>
    <t>PTH secretion</t>
  </si>
  <si>
    <t>Osteoclast activation</t>
  </si>
  <si>
    <t>Vitamin D excess</t>
  </si>
  <si>
    <t>Tumor calcification</t>
  </si>
  <si>
    <t>What bone pattern is characteristic of multiple myeloma?</t>
  </si>
  <si>
    <t>Cortical thickening</t>
  </si>
  <si>
    <t>Diffuse osteopenia with lytic lesions</t>
  </si>
  <si>
    <t>Sclerotic lesions</t>
  </si>
  <si>
    <t>What is the most effective treatment for bone pain in multiple myeloma?</t>
  </si>
  <si>
    <t>NSAIDs</t>
  </si>
  <si>
    <t>A patient with multiple myeloma is found to have a serum calcium of 13.8 mg/dL. What is the first-line acute treatment?</t>
  </si>
  <si>
    <t>IV fluids and bisphosphonates</t>
  </si>
  <si>
    <t>Calcitonin only</t>
  </si>
  <si>
    <t>Adrenal Incidentalomas</t>
  </si>
  <si>
    <t>A 58-year-old man undergoes abdominal CT for kidney stones. An incidental 3.5 cm adrenal mass is found. He is asymptomatic. What is the most appropriate next step?</t>
  </si>
  <si>
    <t>PET scan</t>
  </si>
  <si>
    <t>Biopsy</t>
  </si>
  <si>
    <t>Hormonal evaluation</t>
  </si>
  <si>
    <t>Immediate surgery</t>
  </si>
  <si>
    <t>Which of the following features suggests a malignant adrenal incidentaloma?</t>
  </si>
  <si>
    <t>&lt;4 cm in size</t>
  </si>
  <si>
    <t>Homogeneous on imaging</t>
  </si>
  <si>
    <t>Rapid growth on serial imaging</t>
  </si>
  <si>
    <t>Low unenhanced CT density</t>
  </si>
  <si>
    <t>What hormone test should be included in the initial evaluation of an adrenal incidentaloma?</t>
  </si>
  <si>
    <t>Renin:aldosterone ratio only</t>
  </si>
  <si>
    <t>ACTH stimulation only</t>
  </si>
  <si>
    <t>Overnight dexamethasone suppression test</t>
  </si>
  <si>
    <t>A nonfunctional adrenal incidentaloma measures 2.3 cm. What is the next best step?</t>
  </si>
  <si>
    <t>Surgical resection</t>
  </si>
  <si>
    <t>Repeat imaging in 6â€“12 months</t>
  </si>
  <si>
    <t>Start spironolactone</t>
  </si>
  <si>
    <t>Do nothing</t>
  </si>
  <si>
    <t>Which of the following is an indication for surgical removal of an adrenal mass?</t>
  </si>
  <si>
    <t>Functioning tumor</t>
  </si>
  <si>
    <t>Size &lt;1 cm</t>
  </si>
  <si>
    <t>Stable size over 3 years</t>
  </si>
  <si>
    <t>Normal hormonal workup</t>
  </si>
  <si>
    <t>Congenital Adrenal Hyperplasia (CAH)</t>
  </si>
  <si>
    <t>A newborn girl has ambiguous genitalia, hypotension, and hyponatremia. What enzyme is most likely deficient?</t>
  </si>
  <si>
    <t>11Î²-hydroxylase</t>
  </si>
  <si>
    <t>17Î±-hydroxylase</t>
  </si>
  <si>
    <t>What lab finding is diagnostic of 21-hydroxylase deficiency?</t>
  </si>
  <si>
    <t>Elevated aldosterone</t>
  </si>
  <si>
    <t>Elevated cortisol</t>
  </si>
  <si>
    <t>Elevated 17-hydroxyprogesterone</t>
  </si>
  <si>
    <t>Low ACTH</t>
  </si>
  <si>
    <t>Which CAH subtype presents with hypertension and virilization?</t>
  </si>
  <si>
    <t>21-hydroxylase deficiency</t>
  </si>
  <si>
    <t>11Î²-hydroxylase deficiency</t>
  </si>
  <si>
    <t>17Î±-hydroxylase deficiency</t>
  </si>
  <si>
    <t>Aromatase deficiency</t>
  </si>
  <si>
    <t>Which CAH type presents with hypertension and sexual infantilism?</t>
  </si>
  <si>
    <t>5Î±-reductase deficiency</t>
  </si>
  <si>
    <t>Long-term treatment for classic CAH includes:</t>
  </si>
  <si>
    <t>Ketoconazole</t>
  </si>
  <si>
    <t>Fludrocortisone and glucocorticoids</t>
  </si>
  <si>
    <t>Oral contraceptives</t>
  </si>
  <si>
    <t>Surgery only</t>
  </si>
  <si>
    <t>Functional Hypothalamic Amenorrhea</t>
  </si>
  <si>
    <t>A 23-year-old athlete has amenorrhea for 6 months. BMI is 17. Labs show low FSH, LH, and estradiol. What is the diagnosis?</t>
  </si>
  <si>
    <t>Which of the following is NOT a known trigger for functional hypothalamic amenorrhea?</t>
  </si>
  <si>
    <t>Emotional stress</t>
  </si>
  <si>
    <t>Intense exercise</t>
  </si>
  <si>
    <t>Thyroid disease</t>
  </si>
  <si>
    <t>Undernutrition</t>
  </si>
  <si>
    <t>What is the first-line treatment for functional hypothalamic amenorrhea?</t>
  </si>
  <si>
    <t>Estrogen pills</t>
  </si>
  <si>
    <t>Nutritional and psychological rehabilitation</t>
  </si>
  <si>
    <t>DHEA supplementation</t>
  </si>
  <si>
    <t>GnRH agonists</t>
  </si>
  <si>
    <t>A dancer with amenorrhea and low bone density likely suffers from:</t>
  </si>
  <si>
    <t>Menopausal transition</t>
  </si>
  <si>
    <t>Primary ovarian failure</t>
  </si>
  <si>
    <t>Functional hypothalamic amenorrhea is associated with which hormonal pattern?</t>
  </si>
  <si>
    <t>High GnRH pulse frequency</t>
  </si>
  <si>
    <t>Increased prolactin</t>
  </si>
  <si>
    <t>Suppressed GnRH secretion</t>
  </si>
  <si>
    <t>Elevated testosterone</t>
  </si>
  <si>
    <t>A 29-year-old woman presents with amenorrhea and galactorrhea. Prolactin is 90 ng/mL. Which is the most likely cause?</t>
  </si>
  <si>
    <t>Pregnancy</t>
  </si>
  <si>
    <t>Antipsychotic use</t>
  </si>
  <si>
    <t>Which of the following medications can cause hyperprolactinemia?</t>
  </si>
  <si>
    <t>Haloperidol</t>
  </si>
  <si>
    <t>Lisinopril</t>
  </si>
  <si>
    <t>In a patient with prolactin &gt;200 ng/mL and MRI showing pituitary macroadenoma, what is first-line therapy?</t>
  </si>
  <si>
    <t>Surgery</t>
  </si>
  <si>
    <t>Which of the following is a complication of untreated macroprolactinoma?</t>
  </si>
  <si>
    <t>Diabetes insipidus</t>
  </si>
  <si>
    <t>Bitemporal hemianopia</t>
  </si>
  <si>
    <t>Adrenal crisis</t>
  </si>
  <si>
    <t>What lab finding supports the diagnosis of macroprolactinemia (inactive prolactin isoforms)?</t>
  </si>
  <si>
    <t>High TSH</t>
  </si>
  <si>
    <t>High prolactin with no symptoms</t>
  </si>
  <si>
    <t>Suppressed prolactin on metoclopramide</t>
  </si>
  <si>
    <t>Elevated GH</t>
  </si>
  <si>
    <t>Carcinoid Syndrome and Neuroendocrine Tumors (NETs)</t>
  </si>
  <si>
    <t>A 55-year-old woman has flushing, diarrhea, and wheezing. 24-hour urinary 5-HIAA is elevated. What is the most likely diagnosis?</t>
  </si>
  <si>
    <t>VIPoma</t>
  </si>
  <si>
    <t>Zollinger-Ellison syndrome</t>
  </si>
  <si>
    <t>Carcinoid syndrome</t>
  </si>
  <si>
    <t>Which tumor location is most likely to cause carcinoid syndrome symptoms?</t>
  </si>
  <si>
    <t>Lung</t>
  </si>
  <si>
    <t>Small bowel with liver metastases</t>
  </si>
  <si>
    <t>Appendix</t>
  </si>
  <si>
    <t>Colon</t>
  </si>
  <si>
    <t>Which vitamin deficiency is associated with carcinoid syndrome?</t>
  </si>
  <si>
    <t>Vitamin B1</t>
  </si>
  <si>
    <t>Niacin (B3)</t>
  </si>
  <si>
    <t>Folate</t>
  </si>
  <si>
    <t>Vitamin B6</t>
  </si>
  <si>
    <t>What is the best initial imaging test to localize a carcinoid tumor?</t>
  </si>
  <si>
    <t>CT abdomen and pelvis</t>
  </si>
  <si>
    <t>Colonoscopy</t>
  </si>
  <si>
    <t>First-line treatment for symptomatic carcinoid syndrome includes:</t>
  </si>
  <si>
    <t>Octreotide</t>
  </si>
  <si>
    <t>Dopamine agonists</t>
  </si>
  <si>
    <t>Paraneoplastic Endocrine Syndromes</t>
  </si>
  <si>
    <t>A 65-year-old smoker has hypercalcemia, low PTH, and lung mass. What is the most likely mechanism?</t>
  </si>
  <si>
    <t>Bone metastases</t>
  </si>
  <si>
    <t>Ectopic PTH production</t>
  </si>
  <si>
    <t>PTHrP secretion</t>
  </si>
  <si>
    <t>Which cancer is most commonly associated with ectopic ACTH production?</t>
  </si>
  <si>
    <t>Small cell lung carcinoma</t>
  </si>
  <si>
    <t>Renal cell carcinoma</t>
  </si>
  <si>
    <t>Prostate</t>
  </si>
  <si>
    <t>Which electrolyte abnormality is most common in SIADH?</t>
  </si>
  <si>
    <t>Hyponatremia</t>
  </si>
  <si>
    <t>A patient with pancreatic cancer develops migratory superficial thrombophlebitis and hyperglycemia. Which hormone is implicated?</t>
  </si>
  <si>
    <t>Glucagon</t>
  </si>
  <si>
    <t>PTH</t>
  </si>
  <si>
    <t>Lambert-Eaton syndrome is most often associated with:</t>
  </si>
  <si>
    <t>Breast cancer</t>
  </si>
  <si>
    <t>Small cell lung cancer</t>
  </si>
  <si>
    <t>Colon cancer</t>
  </si>
  <si>
    <t>Endocrine Hypertension (Renovascular &amp; Secondary Causes)</t>
  </si>
  <si>
    <t>A 33-year-old woman has resistant hypertension and low potassium. Plasma aldosterone is elevated; renin is suppressed. Diagnosis?</t>
  </si>
  <si>
    <t>What is the confirmatory test for primary aldosteronism after a high aldosterone:renin ratio?</t>
  </si>
  <si>
    <t>Saline suppression test</t>
  </si>
  <si>
    <t>Urine metanephrines</t>
  </si>
  <si>
    <t>A patient with episodic headache, palpitations, and hypertension has elevated plasma metanephrines. Next step?</t>
  </si>
  <si>
    <t>Start beta-blockers only</t>
  </si>
  <si>
    <t>MRI of adrenals</t>
  </si>
  <si>
    <t>Measure serum calcium</t>
  </si>
  <si>
    <t>What is the most common cause of renovascular hypertension in older adults?</t>
  </si>
  <si>
    <t>Fibromuscular dysplasia</t>
  </si>
  <si>
    <t>Renal artery aneurysm</t>
  </si>
  <si>
    <t>Atherosclerosis</t>
  </si>
  <si>
    <t>Hyperaldosteronism</t>
  </si>
  <si>
    <t>A patient has hypertension and elevated cortisol not suppressed by low-dose dexamethasone. ACTH is low. What is the next step?</t>
  </si>
  <si>
    <t>Brain MRI</t>
  </si>
  <si>
    <t>Pituitary stimulation test</t>
  </si>
  <si>
    <t>Lactic Acidosis &amp; Euglycemic DKA (SGLT2-associated)</t>
  </si>
  <si>
    <t>A diabetic patient on metformin presents with hypotension, abdominal pain, and lactate 6.2 mmol/L. What is the most likely complication?</t>
  </si>
  <si>
    <t>Euglycemic DKA</t>
  </si>
  <si>
    <t>Metformin-associated lactic acidosis</t>
  </si>
  <si>
    <t>Hyperosmolar hyperglycemic state</t>
  </si>
  <si>
    <t>Which of the following drugs is most associated with euglycemic diabetic ketoacidosis?</t>
  </si>
  <si>
    <t>What is the typical glucose range in euglycemic DKA?</t>
  </si>
  <si>
    <t>400â€“600 mg/dL</t>
  </si>
  <si>
    <t>250â€“400 mg/dL</t>
  </si>
  <si>
    <t>70â€“130 mg/dL</t>
  </si>
  <si>
    <t>&lt;250 mg/dL</t>
  </si>
  <si>
    <t>First-line treatment of euglycemic DKA includes:</t>
  </si>
  <si>
    <t>Dextrose only</t>
  </si>
  <si>
    <t>Fluid resuscitation, insulin, and dextrose</t>
  </si>
  <si>
    <t>Metformin and potassium</t>
  </si>
  <si>
    <t>Thiamine and insulin</t>
  </si>
  <si>
    <t>What acid-base disorder is expected in lactic acidosis?</t>
  </si>
  <si>
    <t>Respiratory alkalosis</t>
  </si>
  <si>
    <t>High anion gap metabolic acidosis</t>
  </si>
  <si>
    <t>Normal anion gap acidosis</t>
  </si>
  <si>
    <t>Metabolic alkalosis</t>
  </si>
  <si>
    <t>Nutritional Rickets and Pediatric Calcium Disorders</t>
  </si>
  <si>
    <t>A 2-year-old child presents with bowing of legs, delayed walking, and craniotabes. Labs show low calcium, low phosphate, and elevated ALP. Diagnosis?</t>
  </si>
  <si>
    <t>Lead poisoning</t>
  </si>
  <si>
    <t>Nutritional rickets</t>
  </si>
  <si>
    <t>Osteogenesis imperfecta</t>
  </si>
  <si>
    <t>Hypophosphatasia</t>
  </si>
  <si>
    <t>What is the most common cause of rickets worldwide?</t>
  </si>
  <si>
    <t>Genetic enzyme defect</t>
  </si>
  <si>
    <t>Vitamin D deficiency</t>
  </si>
  <si>
    <t>Phosphate-wasting disorder</t>
  </si>
  <si>
    <t>Dietary calcium excess</t>
  </si>
  <si>
    <t>What radiologic finding is classic for rickets?</t>
  </si>
  <si>
    <t>Dense metaphyses</t>
  </si>
  <si>
    <t>Looser lines</t>
  </si>
  <si>
    <t>Cupping and fraying at the metaphyses</t>
  </si>
  <si>
    <t>Which hormone is most elevated in vitamin D deficiency rickets?</t>
  </si>
  <si>
    <t>GH</t>
  </si>
  <si>
    <t>A child with X-linked hypophosphatemic rickets will most likely require which treatment?</t>
  </si>
  <si>
    <t>IV calcium</t>
  </si>
  <si>
    <t>Phosphate and calcitriol</t>
  </si>
  <si>
    <t>Vitamin D only</t>
  </si>
  <si>
    <t>Syndromes of Lipodystrophy and Insulin Resistance</t>
  </si>
  <si>
    <t>A 16-year-old girl presents with acanthosis nigricans, muscular limbs, and low leptin. She is diabetic with no adipose tissue. What is the most likely diagnosis?</t>
  </si>
  <si>
    <t>Congenital generalized lipodystrophy</t>
  </si>
  <si>
    <t>What is the metabolic hallmark of lipodystrophy?</t>
  </si>
  <si>
    <t>Severe insulin resistance</t>
  </si>
  <si>
    <t>Low triglycerides</t>
  </si>
  <si>
    <t>What class of drug may improve insulin sensitivity in lipodystrophy?</t>
  </si>
  <si>
    <t>Thiazolidinediones</t>
  </si>
  <si>
    <t>Which hormone therapy may benefit patients with severe congenital lipodystrophy?</t>
  </si>
  <si>
    <t>Leptin (metreleptin)</t>
  </si>
  <si>
    <t>Partial lipodystrophy is often associated with which systemic complication?</t>
  </si>
  <si>
    <t>Thyroid storm</t>
  </si>
  <si>
    <t>Acute pancreatitis</t>
  </si>
  <si>
    <t>Autoimmune disease</t>
  </si>
  <si>
    <t>model_answer</t>
  </si>
  <si>
    <t>chatGPT_answer</t>
  </si>
  <si>
    <t>chatgpt</t>
  </si>
  <si>
    <t>chatGPT Score (%):</t>
  </si>
  <si>
    <t>chatGPT 5.2 thinking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</si>
</sst>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7">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E72C33-2A43-438C-8CC8-D2C05296D570}" name="Table1" displayName="Table1" ref="A1:I202" totalsRowCount="1" headerRowDxfId="6">
  <autoFilter ref="A1:I201" xr:uid="{4CE72C33-2A43-438C-8CC8-D2C05296D570}"/>
  <tableColumns count="9">
    <tableColumn id="1" xr3:uid="{8EC6FCC7-4058-4B22-8931-69A6F07788A8}" name="topic"/>
    <tableColumn id="2" xr3:uid="{8FFEBDAC-0632-411D-BF40-2F815DFF4C8E}" name="question"/>
    <tableColumn id="3" xr3:uid="{9BF9EBD0-B12A-4339-A838-2A40BB256CF4}" name="option_a"/>
    <tableColumn id="4" xr3:uid="{7C98D93C-CD61-4529-A0A8-BED6D7A78226}" name="option_b"/>
    <tableColumn id="5" xr3:uid="{4C4BFCF6-0A4E-4C08-93C2-8D3CF64612B1}" name="option_c"/>
    <tableColumn id="6" xr3:uid="{724C254E-EFAE-43FE-9C4A-9D171D323E15}" name="option_d"/>
    <tableColumn id="7" xr3:uid="{53B96259-BDF6-4A3F-A000-561D25092115}" name="model_answer" dataDxfId="5" totalsRowDxfId="4"/>
    <tableColumn id="8" xr3:uid="{D11062C9-2B7C-44F1-9453-CF0EBE0E543C}" name="chatGPT_answer" dataDxfId="3" totalsRowDxfId="2"/>
    <tableColumn id="10" xr3:uid="{E40CD852-2D45-4CF3-8092-8B7C3286D594}" name="chatgpt" totalsRowFunction="custom" dataDxfId="1" totalsRowDxfId="0">
      <totalsRowFormula>SUM(Table1[chatgpt])</totalsRow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4"/>
  <sheetViews>
    <sheetView tabSelected="1" topLeftCell="D196" workbookViewId="0">
      <selection activeCell="H204" sqref="H204"/>
    </sheetView>
  </sheetViews>
  <sheetFormatPr defaultRowHeight="14.5" x14ac:dyDescent="0.35"/>
  <cols>
    <col min="1" max="1" width="51.7265625" bestFit="1" customWidth="1"/>
    <col min="2" max="2" width="10.1796875" customWidth="1"/>
    <col min="3" max="3" width="10.36328125" customWidth="1"/>
    <col min="4" max="4" width="10.453125" customWidth="1"/>
    <col min="5" max="5" width="10.1796875" customWidth="1"/>
    <col min="6" max="6" width="35.7265625" bestFit="1" customWidth="1"/>
    <col min="7" max="7" width="15.1796875" style="4" customWidth="1"/>
    <col min="8" max="8" width="16.90625" style="4" customWidth="1"/>
    <col min="9" max="9" width="28.7265625" style="4" customWidth="1"/>
  </cols>
  <sheetData>
    <row r="1" spans="1:9" x14ac:dyDescent="0.35">
      <c r="A1" s="1" t="s">
        <v>0</v>
      </c>
      <c r="B1" s="1" t="s">
        <v>1</v>
      </c>
      <c r="C1" s="1" t="s">
        <v>2</v>
      </c>
      <c r="D1" s="1" t="s">
        <v>3</v>
      </c>
      <c r="E1" s="1" t="s">
        <v>4</v>
      </c>
      <c r="F1" s="1" t="s">
        <v>5</v>
      </c>
      <c r="G1" s="1" t="s">
        <v>850</v>
      </c>
      <c r="H1" s="3" t="s">
        <v>851</v>
      </c>
      <c r="I1" s="2" t="s">
        <v>852</v>
      </c>
    </row>
    <row r="2" spans="1:9" x14ac:dyDescent="0.35">
      <c r="A2" t="s">
        <v>6</v>
      </c>
      <c r="B2" t="s">
        <v>7</v>
      </c>
      <c r="C2" t="s">
        <v>8</v>
      </c>
      <c r="D2" t="s">
        <v>9</v>
      </c>
      <c r="E2" t="s">
        <v>10</v>
      </c>
      <c r="F2" t="s">
        <v>11</v>
      </c>
      <c r="G2" s="4" t="s">
        <v>12</v>
      </c>
      <c r="H2" s="4" t="s">
        <v>12</v>
      </c>
      <c r="I2" s="4">
        <f t="shared" ref="I2:I33" si="0">IF(TRIM(G2)=TRIM(H2),1,0)</f>
        <v>1</v>
      </c>
    </row>
    <row r="3" spans="1:9" x14ac:dyDescent="0.35">
      <c r="A3" t="s">
        <v>6</v>
      </c>
      <c r="B3" t="s">
        <v>13</v>
      </c>
      <c r="C3" t="s">
        <v>14</v>
      </c>
      <c r="D3" t="s">
        <v>15</v>
      </c>
      <c r="E3" t="s">
        <v>16</v>
      </c>
      <c r="F3" t="s">
        <v>17</v>
      </c>
      <c r="G3" s="4" t="s">
        <v>18</v>
      </c>
      <c r="H3" s="4" t="s">
        <v>18</v>
      </c>
      <c r="I3" s="4">
        <f t="shared" si="0"/>
        <v>1</v>
      </c>
    </row>
    <row r="4" spans="1:9" x14ac:dyDescent="0.35">
      <c r="A4" t="s">
        <v>6</v>
      </c>
      <c r="B4" t="s">
        <v>19</v>
      </c>
      <c r="C4" t="s">
        <v>20</v>
      </c>
      <c r="D4" t="s">
        <v>21</v>
      </c>
      <c r="E4" t="s">
        <v>22</v>
      </c>
      <c r="F4" t="s">
        <v>23</v>
      </c>
      <c r="G4" s="4" t="s">
        <v>18</v>
      </c>
      <c r="H4" s="4" t="s">
        <v>18</v>
      </c>
      <c r="I4" s="4">
        <f t="shared" si="0"/>
        <v>1</v>
      </c>
    </row>
    <row r="5" spans="1:9" x14ac:dyDescent="0.35">
      <c r="A5" t="s">
        <v>6</v>
      </c>
      <c r="B5" t="s">
        <v>24</v>
      </c>
      <c r="C5" t="s">
        <v>25</v>
      </c>
      <c r="D5" t="s">
        <v>26</v>
      </c>
      <c r="E5" t="s">
        <v>27</v>
      </c>
      <c r="F5" t="s">
        <v>28</v>
      </c>
      <c r="G5" s="4" t="s">
        <v>18</v>
      </c>
      <c r="H5" s="4" t="s">
        <v>18</v>
      </c>
      <c r="I5" s="4">
        <f t="shared" si="0"/>
        <v>1</v>
      </c>
    </row>
    <row r="6" spans="1:9" x14ac:dyDescent="0.35">
      <c r="A6" t="s">
        <v>6</v>
      </c>
      <c r="B6" t="s">
        <v>29</v>
      </c>
      <c r="C6" t="s">
        <v>30</v>
      </c>
      <c r="D6" t="s">
        <v>31</v>
      </c>
      <c r="E6" t="s">
        <v>32</v>
      </c>
      <c r="F6" t="s">
        <v>33</v>
      </c>
      <c r="G6" s="4" t="s">
        <v>12</v>
      </c>
      <c r="H6" s="4" t="s">
        <v>12</v>
      </c>
      <c r="I6" s="4">
        <f t="shared" si="0"/>
        <v>1</v>
      </c>
    </row>
    <row r="7" spans="1:9" x14ac:dyDescent="0.35">
      <c r="A7" t="s">
        <v>34</v>
      </c>
      <c r="B7" t="s">
        <v>35</v>
      </c>
      <c r="C7" t="s">
        <v>36</v>
      </c>
      <c r="D7" t="s">
        <v>37</v>
      </c>
      <c r="E7" t="s">
        <v>22</v>
      </c>
      <c r="F7" t="s">
        <v>38</v>
      </c>
      <c r="G7" s="4" t="s">
        <v>18</v>
      </c>
      <c r="H7" s="4" t="s">
        <v>18</v>
      </c>
      <c r="I7" s="4">
        <f t="shared" si="0"/>
        <v>1</v>
      </c>
    </row>
    <row r="8" spans="1:9" x14ac:dyDescent="0.35">
      <c r="A8" t="s">
        <v>34</v>
      </c>
      <c r="B8" t="s">
        <v>39</v>
      </c>
      <c r="C8" t="s">
        <v>40</v>
      </c>
      <c r="D8" t="s">
        <v>41</v>
      </c>
      <c r="E8" t="s">
        <v>42</v>
      </c>
      <c r="F8" t="s">
        <v>43</v>
      </c>
      <c r="G8" s="4" t="s">
        <v>18</v>
      </c>
      <c r="H8" s="4" t="s">
        <v>18</v>
      </c>
      <c r="I8" s="4">
        <f t="shared" si="0"/>
        <v>1</v>
      </c>
    </row>
    <row r="9" spans="1:9" x14ac:dyDescent="0.35">
      <c r="A9" t="s">
        <v>34</v>
      </c>
      <c r="B9" t="s">
        <v>44</v>
      </c>
      <c r="C9" t="s">
        <v>45</v>
      </c>
      <c r="D9" t="s">
        <v>46</v>
      </c>
      <c r="E9" t="s">
        <v>22</v>
      </c>
      <c r="F9" t="s">
        <v>47</v>
      </c>
      <c r="G9" s="4" t="s">
        <v>12</v>
      </c>
      <c r="H9" s="4" t="s">
        <v>12</v>
      </c>
      <c r="I9" s="4">
        <f t="shared" si="0"/>
        <v>1</v>
      </c>
    </row>
    <row r="10" spans="1:9" x14ac:dyDescent="0.35">
      <c r="A10" t="s">
        <v>34</v>
      </c>
      <c r="B10" t="s">
        <v>48</v>
      </c>
      <c r="C10" t="s">
        <v>49</v>
      </c>
      <c r="D10" t="s">
        <v>50</v>
      </c>
      <c r="E10" t="s">
        <v>51</v>
      </c>
      <c r="F10" t="s">
        <v>28</v>
      </c>
      <c r="G10" s="4" t="s">
        <v>52</v>
      </c>
      <c r="H10" s="4" t="s">
        <v>52</v>
      </c>
      <c r="I10" s="4">
        <f t="shared" si="0"/>
        <v>1</v>
      </c>
    </row>
    <row r="11" spans="1:9" x14ac:dyDescent="0.35">
      <c r="A11" t="s">
        <v>34</v>
      </c>
      <c r="B11" t="s">
        <v>53</v>
      </c>
      <c r="C11" t="s">
        <v>47</v>
      </c>
      <c r="D11" t="s">
        <v>54</v>
      </c>
      <c r="E11" t="s">
        <v>55</v>
      </c>
      <c r="F11" t="s">
        <v>38</v>
      </c>
      <c r="G11" s="4" t="s">
        <v>12</v>
      </c>
      <c r="H11" s="4" t="s">
        <v>12</v>
      </c>
      <c r="I11" s="4">
        <f t="shared" si="0"/>
        <v>1</v>
      </c>
    </row>
    <row r="12" spans="1:9" x14ac:dyDescent="0.35">
      <c r="A12" t="s">
        <v>56</v>
      </c>
      <c r="B12" t="s">
        <v>57</v>
      </c>
      <c r="C12" t="s">
        <v>58</v>
      </c>
      <c r="D12" t="s">
        <v>59</v>
      </c>
      <c r="E12" t="s">
        <v>60</v>
      </c>
      <c r="F12" t="s">
        <v>61</v>
      </c>
      <c r="G12" s="4" t="s">
        <v>12</v>
      </c>
      <c r="H12" s="4" t="s">
        <v>12</v>
      </c>
      <c r="I12" s="4">
        <f t="shared" si="0"/>
        <v>1</v>
      </c>
    </row>
    <row r="13" spans="1:9" x14ac:dyDescent="0.35">
      <c r="A13" t="s">
        <v>56</v>
      </c>
      <c r="B13" t="s">
        <v>62</v>
      </c>
      <c r="C13" t="s">
        <v>59</v>
      </c>
      <c r="D13" t="s">
        <v>63</v>
      </c>
      <c r="E13" t="s">
        <v>64</v>
      </c>
      <c r="F13" t="s">
        <v>65</v>
      </c>
      <c r="G13" s="4" t="s">
        <v>52</v>
      </c>
      <c r="H13" s="4" t="s">
        <v>52</v>
      </c>
      <c r="I13" s="4">
        <f t="shared" si="0"/>
        <v>1</v>
      </c>
    </row>
    <row r="14" spans="1:9" x14ac:dyDescent="0.35">
      <c r="A14" t="s">
        <v>56</v>
      </c>
      <c r="B14" t="s">
        <v>66</v>
      </c>
      <c r="C14" t="s">
        <v>67</v>
      </c>
      <c r="D14" t="s">
        <v>16</v>
      </c>
      <c r="E14" t="s">
        <v>68</v>
      </c>
      <c r="F14" t="s">
        <v>69</v>
      </c>
      <c r="G14" s="4" t="s">
        <v>18</v>
      </c>
      <c r="H14" s="4" t="s">
        <v>18</v>
      </c>
      <c r="I14" s="4">
        <f t="shared" si="0"/>
        <v>1</v>
      </c>
    </row>
    <row r="15" spans="1:9" x14ac:dyDescent="0.35">
      <c r="A15" t="s">
        <v>56</v>
      </c>
      <c r="B15" t="s">
        <v>70</v>
      </c>
      <c r="C15" t="s">
        <v>71</v>
      </c>
      <c r="D15" t="s">
        <v>72</v>
      </c>
      <c r="E15" t="s">
        <v>73</v>
      </c>
      <c r="F15" t="s">
        <v>74</v>
      </c>
      <c r="G15" s="4" t="s">
        <v>12</v>
      </c>
      <c r="H15" s="4" t="s">
        <v>12</v>
      </c>
      <c r="I15" s="4">
        <f t="shared" si="0"/>
        <v>1</v>
      </c>
    </row>
    <row r="16" spans="1:9" x14ac:dyDescent="0.35">
      <c r="A16" t="s">
        <v>56</v>
      </c>
      <c r="B16" t="s">
        <v>75</v>
      </c>
      <c r="C16" t="s">
        <v>76</v>
      </c>
      <c r="D16" t="s">
        <v>77</v>
      </c>
      <c r="E16" t="s">
        <v>59</v>
      </c>
      <c r="F16" t="s">
        <v>78</v>
      </c>
      <c r="G16" s="4" t="s">
        <v>12</v>
      </c>
      <c r="H16" s="4" t="s">
        <v>12</v>
      </c>
      <c r="I16" s="4">
        <f t="shared" si="0"/>
        <v>1</v>
      </c>
    </row>
    <row r="17" spans="1:9" x14ac:dyDescent="0.35">
      <c r="A17" t="s">
        <v>78</v>
      </c>
      <c r="B17" t="s">
        <v>79</v>
      </c>
      <c r="C17" t="s">
        <v>80</v>
      </c>
      <c r="D17" t="s">
        <v>81</v>
      </c>
      <c r="E17" t="s">
        <v>82</v>
      </c>
      <c r="F17" t="s">
        <v>83</v>
      </c>
      <c r="G17" s="4" t="s">
        <v>12</v>
      </c>
      <c r="H17" s="4" t="s">
        <v>12</v>
      </c>
      <c r="I17" s="4">
        <f t="shared" si="0"/>
        <v>1</v>
      </c>
    </row>
    <row r="18" spans="1:9" x14ac:dyDescent="0.35">
      <c r="A18" t="s">
        <v>78</v>
      </c>
      <c r="B18" t="s">
        <v>84</v>
      </c>
      <c r="C18" t="s">
        <v>85</v>
      </c>
      <c r="D18" t="s">
        <v>86</v>
      </c>
      <c r="E18" t="s">
        <v>87</v>
      </c>
      <c r="F18" t="s">
        <v>88</v>
      </c>
      <c r="G18" s="4" t="s">
        <v>18</v>
      </c>
      <c r="H18" s="4" t="s">
        <v>18</v>
      </c>
      <c r="I18" s="4">
        <f t="shared" si="0"/>
        <v>1</v>
      </c>
    </row>
    <row r="19" spans="1:9" x14ac:dyDescent="0.35">
      <c r="A19" t="s">
        <v>78</v>
      </c>
      <c r="B19" t="s">
        <v>89</v>
      </c>
      <c r="C19" t="s">
        <v>90</v>
      </c>
      <c r="D19" t="s">
        <v>91</v>
      </c>
      <c r="E19" t="s">
        <v>92</v>
      </c>
      <c r="F19" t="s">
        <v>93</v>
      </c>
      <c r="G19" s="4" t="s">
        <v>12</v>
      </c>
      <c r="H19" s="4" t="s">
        <v>12</v>
      </c>
      <c r="I19" s="4">
        <f t="shared" si="0"/>
        <v>1</v>
      </c>
    </row>
    <row r="20" spans="1:9" x14ac:dyDescent="0.35">
      <c r="A20" t="s">
        <v>78</v>
      </c>
      <c r="B20" t="s">
        <v>94</v>
      </c>
      <c r="C20" t="s">
        <v>95</v>
      </c>
      <c r="D20" t="s">
        <v>96</v>
      </c>
      <c r="E20" t="s">
        <v>97</v>
      </c>
      <c r="F20" t="s">
        <v>98</v>
      </c>
      <c r="G20" s="4" t="s">
        <v>99</v>
      </c>
      <c r="H20" s="4" t="s">
        <v>99</v>
      </c>
      <c r="I20" s="4">
        <f t="shared" si="0"/>
        <v>1</v>
      </c>
    </row>
    <row r="21" spans="1:9" x14ac:dyDescent="0.35">
      <c r="A21" t="s">
        <v>78</v>
      </c>
      <c r="B21" t="s">
        <v>100</v>
      </c>
      <c r="C21" t="s">
        <v>8</v>
      </c>
      <c r="D21" t="s">
        <v>101</v>
      </c>
      <c r="E21" t="s">
        <v>102</v>
      </c>
      <c r="F21" t="s">
        <v>103</v>
      </c>
      <c r="G21" s="4" t="s">
        <v>18</v>
      </c>
      <c r="H21" s="4" t="s">
        <v>18</v>
      </c>
      <c r="I21" s="4">
        <f t="shared" si="0"/>
        <v>1</v>
      </c>
    </row>
    <row r="22" spans="1:9" x14ac:dyDescent="0.35">
      <c r="A22" t="s">
        <v>104</v>
      </c>
      <c r="B22" t="s">
        <v>105</v>
      </c>
      <c r="C22" t="s">
        <v>106</v>
      </c>
      <c r="D22" t="s">
        <v>107</v>
      </c>
      <c r="E22" t="s">
        <v>81</v>
      </c>
      <c r="F22" t="s">
        <v>108</v>
      </c>
      <c r="G22" s="4" t="s">
        <v>12</v>
      </c>
      <c r="H22" s="4" t="s">
        <v>12</v>
      </c>
      <c r="I22" s="4">
        <f t="shared" si="0"/>
        <v>1</v>
      </c>
    </row>
    <row r="23" spans="1:9" x14ac:dyDescent="0.35">
      <c r="A23" t="s">
        <v>104</v>
      </c>
      <c r="B23" t="s">
        <v>109</v>
      </c>
      <c r="C23" t="s">
        <v>110</v>
      </c>
      <c r="D23" t="s">
        <v>111</v>
      </c>
      <c r="E23" t="s">
        <v>112</v>
      </c>
      <c r="F23" t="s">
        <v>113</v>
      </c>
      <c r="G23" s="4" t="s">
        <v>52</v>
      </c>
      <c r="H23" s="4" t="s">
        <v>52</v>
      </c>
      <c r="I23" s="4">
        <f t="shared" si="0"/>
        <v>1</v>
      </c>
    </row>
    <row r="24" spans="1:9" x14ac:dyDescent="0.35">
      <c r="A24" t="s">
        <v>104</v>
      </c>
      <c r="B24" t="s">
        <v>114</v>
      </c>
      <c r="C24" t="s">
        <v>81</v>
      </c>
      <c r="D24" t="s">
        <v>115</v>
      </c>
      <c r="E24" t="s">
        <v>107</v>
      </c>
      <c r="F24" t="s">
        <v>116</v>
      </c>
      <c r="G24" s="4" t="s">
        <v>12</v>
      </c>
      <c r="H24" s="4" t="s">
        <v>12</v>
      </c>
      <c r="I24" s="4">
        <f t="shared" si="0"/>
        <v>1</v>
      </c>
    </row>
    <row r="25" spans="1:9" x14ac:dyDescent="0.35">
      <c r="A25" t="s">
        <v>104</v>
      </c>
      <c r="B25" t="s">
        <v>117</v>
      </c>
      <c r="C25" t="s">
        <v>118</v>
      </c>
      <c r="D25" t="s">
        <v>119</v>
      </c>
      <c r="E25" t="s">
        <v>120</v>
      </c>
      <c r="F25" t="s">
        <v>121</v>
      </c>
      <c r="G25" s="4" t="s">
        <v>18</v>
      </c>
      <c r="H25" s="4" t="s">
        <v>18</v>
      </c>
      <c r="I25" s="4">
        <f t="shared" si="0"/>
        <v>1</v>
      </c>
    </row>
    <row r="26" spans="1:9" x14ac:dyDescent="0.35">
      <c r="A26" t="s">
        <v>104</v>
      </c>
      <c r="B26" t="s">
        <v>122</v>
      </c>
      <c r="C26" t="s">
        <v>123</v>
      </c>
      <c r="D26" t="s">
        <v>124</v>
      </c>
      <c r="E26" t="s">
        <v>125</v>
      </c>
      <c r="F26" t="s">
        <v>126</v>
      </c>
      <c r="G26" s="4" t="s">
        <v>12</v>
      </c>
      <c r="H26" s="4" t="s">
        <v>12</v>
      </c>
      <c r="I26" s="4">
        <f t="shared" si="0"/>
        <v>1</v>
      </c>
    </row>
    <row r="27" spans="1:9" x14ac:dyDescent="0.35">
      <c r="A27" t="s">
        <v>127</v>
      </c>
      <c r="B27" t="s">
        <v>128</v>
      </c>
      <c r="C27" t="s">
        <v>129</v>
      </c>
      <c r="D27" t="s">
        <v>130</v>
      </c>
      <c r="E27" t="s">
        <v>131</v>
      </c>
      <c r="F27" t="s">
        <v>132</v>
      </c>
      <c r="G27" s="4" t="s">
        <v>12</v>
      </c>
      <c r="H27" s="4" t="s">
        <v>12</v>
      </c>
      <c r="I27" s="4">
        <f t="shared" si="0"/>
        <v>1</v>
      </c>
    </row>
    <row r="28" spans="1:9" x14ac:dyDescent="0.35">
      <c r="A28" t="s">
        <v>127</v>
      </c>
      <c r="B28" t="s">
        <v>133</v>
      </c>
      <c r="C28" t="s">
        <v>134</v>
      </c>
      <c r="D28" t="s">
        <v>131</v>
      </c>
      <c r="E28" t="s">
        <v>135</v>
      </c>
      <c r="F28" t="s">
        <v>136</v>
      </c>
      <c r="G28" s="4" t="s">
        <v>18</v>
      </c>
      <c r="H28" s="4" t="s">
        <v>18</v>
      </c>
      <c r="I28" s="4">
        <f t="shared" si="0"/>
        <v>1</v>
      </c>
    </row>
    <row r="29" spans="1:9" x14ac:dyDescent="0.35">
      <c r="A29" t="s">
        <v>127</v>
      </c>
      <c r="B29" t="s">
        <v>137</v>
      </c>
      <c r="C29" t="s">
        <v>138</v>
      </c>
      <c r="D29" t="s">
        <v>139</v>
      </c>
      <c r="E29" t="s">
        <v>140</v>
      </c>
      <c r="F29" t="s">
        <v>141</v>
      </c>
      <c r="G29" s="4" t="s">
        <v>99</v>
      </c>
      <c r="H29" s="4" t="s">
        <v>99</v>
      </c>
      <c r="I29" s="4">
        <f t="shared" si="0"/>
        <v>1</v>
      </c>
    </row>
    <row r="30" spans="1:9" x14ac:dyDescent="0.35">
      <c r="A30" t="s">
        <v>127</v>
      </c>
      <c r="B30" t="s">
        <v>142</v>
      </c>
      <c r="C30" t="s">
        <v>141</v>
      </c>
      <c r="D30" t="s">
        <v>139</v>
      </c>
      <c r="E30" t="s">
        <v>138</v>
      </c>
      <c r="F30" t="s">
        <v>140</v>
      </c>
      <c r="G30" s="4" t="s">
        <v>12</v>
      </c>
      <c r="H30" s="4" t="s">
        <v>12</v>
      </c>
      <c r="I30" s="4">
        <f t="shared" si="0"/>
        <v>1</v>
      </c>
    </row>
    <row r="31" spans="1:9" x14ac:dyDescent="0.35">
      <c r="A31" t="s">
        <v>127</v>
      </c>
      <c r="B31" t="s">
        <v>143</v>
      </c>
      <c r="C31" t="s">
        <v>144</v>
      </c>
      <c r="D31" t="s">
        <v>145</v>
      </c>
      <c r="E31" t="s">
        <v>146</v>
      </c>
      <c r="F31" t="s">
        <v>147</v>
      </c>
      <c r="G31" s="4" t="s">
        <v>18</v>
      </c>
      <c r="H31" s="4" t="s">
        <v>18</v>
      </c>
      <c r="I31" s="4">
        <f t="shared" si="0"/>
        <v>1</v>
      </c>
    </row>
    <row r="32" spans="1:9" x14ac:dyDescent="0.35">
      <c r="A32" t="s">
        <v>148</v>
      </c>
      <c r="B32" t="s">
        <v>149</v>
      </c>
      <c r="C32" t="s">
        <v>150</v>
      </c>
      <c r="D32" t="s">
        <v>151</v>
      </c>
      <c r="E32" t="s">
        <v>152</v>
      </c>
      <c r="F32" t="s">
        <v>59</v>
      </c>
      <c r="G32" s="4" t="s">
        <v>12</v>
      </c>
      <c r="H32" s="4" t="s">
        <v>12</v>
      </c>
      <c r="I32" s="4">
        <f t="shared" si="0"/>
        <v>1</v>
      </c>
    </row>
    <row r="33" spans="1:9" x14ac:dyDescent="0.35">
      <c r="A33" t="s">
        <v>148</v>
      </c>
      <c r="B33" t="s">
        <v>153</v>
      </c>
      <c r="C33" t="s">
        <v>154</v>
      </c>
      <c r="D33" t="s">
        <v>150</v>
      </c>
      <c r="E33" t="s">
        <v>152</v>
      </c>
      <c r="F33" t="s">
        <v>155</v>
      </c>
      <c r="G33" s="4" t="s">
        <v>12</v>
      </c>
      <c r="H33" s="4" t="s">
        <v>12</v>
      </c>
      <c r="I33" s="4">
        <f t="shared" si="0"/>
        <v>1</v>
      </c>
    </row>
    <row r="34" spans="1:9" x14ac:dyDescent="0.35">
      <c r="A34" t="s">
        <v>148</v>
      </c>
      <c r="B34" t="s">
        <v>156</v>
      </c>
      <c r="C34" t="s">
        <v>157</v>
      </c>
      <c r="D34" t="s">
        <v>120</v>
      </c>
      <c r="E34" t="s">
        <v>158</v>
      </c>
      <c r="F34" t="s">
        <v>159</v>
      </c>
      <c r="G34" s="4" t="s">
        <v>99</v>
      </c>
      <c r="H34" s="4" t="s">
        <v>99</v>
      </c>
      <c r="I34" s="4">
        <f t="shared" ref="I34:I65" si="1">IF(TRIM(G34)=TRIM(H34),1,0)</f>
        <v>1</v>
      </c>
    </row>
    <row r="35" spans="1:9" x14ac:dyDescent="0.35">
      <c r="A35" t="s">
        <v>148</v>
      </c>
      <c r="B35" t="s">
        <v>160</v>
      </c>
      <c r="C35" t="s">
        <v>161</v>
      </c>
      <c r="D35" t="s">
        <v>162</v>
      </c>
      <c r="E35" t="s">
        <v>163</v>
      </c>
      <c r="F35" t="s">
        <v>164</v>
      </c>
      <c r="G35" s="4" t="s">
        <v>12</v>
      </c>
      <c r="H35" s="4" t="s">
        <v>12</v>
      </c>
      <c r="I35" s="4">
        <f t="shared" si="1"/>
        <v>1</v>
      </c>
    </row>
    <row r="36" spans="1:9" x14ac:dyDescent="0.35">
      <c r="A36" t="s">
        <v>148</v>
      </c>
      <c r="B36" t="s">
        <v>165</v>
      </c>
      <c r="C36" t="s">
        <v>166</v>
      </c>
      <c r="D36" t="s">
        <v>167</v>
      </c>
      <c r="E36" t="s">
        <v>168</v>
      </c>
      <c r="F36" t="s">
        <v>169</v>
      </c>
      <c r="G36" s="4" t="s">
        <v>18</v>
      </c>
      <c r="H36" s="4" t="s">
        <v>18</v>
      </c>
      <c r="I36" s="4">
        <f t="shared" si="1"/>
        <v>1</v>
      </c>
    </row>
    <row r="37" spans="1:9" x14ac:dyDescent="0.35">
      <c r="A37" t="s">
        <v>170</v>
      </c>
      <c r="B37" t="s">
        <v>171</v>
      </c>
      <c r="C37" t="s">
        <v>172</v>
      </c>
      <c r="D37" t="s">
        <v>33</v>
      </c>
      <c r="E37" t="s">
        <v>173</v>
      </c>
      <c r="F37" t="s">
        <v>174</v>
      </c>
      <c r="G37" s="4" t="s">
        <v>12</v>
      </c>
      <c r="H37" s="4" t="s">
        <v>52</v>
      </c>
      <c r="I37" s="4">
        <f t="shared" si="1"/>
        <v>0</v>
      </c>
    </row>
    <row r="38" spans="1:9" x14ac:dyDescent="0.35">
      <c r="A38" t="s">
        <v>170</v>
      </c>
      <c r="B38" t="s">
        <v>175</v>
      </c>
      <c r="C38" t="s">
        <v>176</v>
      </c>
      <c r="D38" t="s">
        <v>177</v>
      </c>
      <c r="E38" t="s">
        <v>178</v>
      </c>
      <c r="F38" t="s">
        <v>179</v>
      </c>
      <c r="G38" s="4" t="s">
        <v>12</v>
      </c>
      <c r="H38" s="4" t="s">
        <v>12</v>
      </c>
      <c r="I38" s="4">
        <f t="shared" si="1"/>
        <v>1</v>
      </c>
    </row>
    <row r="39" spans="1:9" x14ac:dyDescent="0.35">
      <c r="A39" t="s">
        <v>170</v>
      </c>
      <c r="B39" t="s">
        <v>180</v>
      </c>
      <c r="C39" t="s">
        <v>96</v>
      </c>
      <c r="D39" t="s">
        <v>181</v>
      </c>
      <c r="E39" t="s">
        <v>182</v>
      </c>
      <c r="F39" t="s">
        <v>183</v>
      </c>
      <c r="G39" s="4" t="s">
        <v>18</v>
      </c>
      <c r="H39" s="4" t="s">
        <v>18</v>
      </c>
      <c r="I39" s="4">
        <f t="shared" si="1"/>
        <v>1</v>
      </c>
    </row>
    <row r="40" spans="1:9" x14ac:dyDescent="0.35">
      <c r="A40" t="s">
        <v>170</v>
      </c>
      <c r="B40" t="s">
        <v>184</v>
      </c>
      <c r="C40" t="s">
        <v>185</v>
      </c>
      <c r="D40" t="s">
        <v>186</v>
      </c>
      <c r="E40" t="s">
        <v>187</v>
      </c>
      <c r="F40" t="s">
        <v>188</v>
      </c>
      <c r="G40" s="4" t="s">
        <v>18</v>
      </c>
      <c r="H40" s="4" t="s">
        <v>18</v>
      </c>
      <c r="I40" s="4">
        <f t="shared" si="1"/>
        <v>1</v>
      </c>
    </row>
    <row r="41" spans="1:9" x14ac:dyDescent="0.35">
      <c r="A41" t="s">
        <v>170</v>
      </c>
      <c r="B41" t="s">
        <v>189</v>
      </c>
      <c r="C41" t="s">
        <v>45</v>
      </c>
      <c r="D41" t="s">
        <v>190</v>
      </c>
      <c r="E41" t="s">
        <v>191</v>
      </c>
      <c r="F41" t="s">
        <v>15</v>
      </c>
      <c r="G41" s="4" t="s">
        <v>12</v>
      </c>
      <c r="H41" s="4" t="s">
        <v>18</v>
      </c>
      <c r="I41" s="4">
        <f t="shared" si="1"/>
        <v>0</v>
      </c>
    </row>
    <row r="42" spans="1:9" x14ac:dyDescent="0.35">
      <c r="A42" t="s">
        <v>11</v>
      </c>
      <c r="B42" t="s">
        <v>192</v>
      </c>
      <c r="C42" t="s">
        <v>193</v>
      </c>
      <c r="D42" t="s">
        <v>194</v>
      </c>
      <c r="E42" t="s">
        <v>11</v>
      </c>
      <c r="F42" t="s">
        <v>151</v>
      </c>
      <c r="G42" s="4" t="s">
        <v>12</v>
      </c>
      <c r="H42" s="4" t="s">
        <v>12</v>
      </c>
      <c r="I42" s="4">
        <f t="shared" si="1"/>
        <v>1</v>
      </c>
    </row>
    <row r="43" spans="1:9" x14ac:dyDescent="0.35">
      <c r="A43" t="s">
        <v>11</v>
      </c>
      <c r="B43" t="s">
        <v>195</v>
      </c>
      <c r="C43" t="s">
        <v>196</v>
      </c>
      <c r="D43" t="s">
        <v>197</v>
      </c>
      <c r="E43" t="s">
        <v>198</v>
      </c>
      <c r="F43" t="s">
        <v>199</v>
      </c>
      <c r="G43" s="4" t="s">
        <v>18</v>
      </c>
      <c r="H43" s="4" t="s">
        <v>18</v>
      </c>
      <c r="I43" s="4">
        <f t="shared" si="1"/>
        <v>1</v>
      </c>
    </row>
    <row r="44" spans="1:9" x14ac:dyDescent="0.35">
      <c r="A44" t="s">
        <v>11</v>
      </c>
      <c r="B44" t="s">
        <v>200</v>
      </c>
      <c r="C44" t="s">
        <v>201</v>
      </c>
      <c r="D44" t="s">
        <v>202</v>
      </c>
      <c r="E44" t="s">
        <v>203</v>
      </c>
      <c r="F44" t="s">
        <v>204</v>
      </c>
      <c r="G44" s="4" t="s">
        <v>12</v>
      </c>
      <c r="H44" s="4" t="s">
        <v>18</v>
      </c>
      <c r="I44" s="4">
        <f t="shared" si="1"/>
        <v>0</v>
      </c>
    </row>
    <row r="45" spans="1:9" x14ac:dyDescent="0.35">
      <c r="A45" t="s">
        <v>11</v>
      </c>
      <c r="B45" t="s">
        <v>205</v>
      </c>
      <c r="C45" t="s">
        <v>206</v>
      </c>
      <c r="D45" t="s">
        <v>207</v>
      </c>
      <c r="E45" t="s">
        <v>208</v>
      </c>
      <c r="F45" t="s">
        <v>209</v>
      </c>
      <c r="G45" s="4" t="s">
        <v>18</v>
      </c>
      <c r="H45" s="4" t="s">
        <v>18</v>
      </c>
      <c r="I45" s="4">
        <f t="shared" si="1"/>
        <v>1</v>
      </c>
    </row>
    <row r="46" spans="1:9" x14ac:dyDescent="0.35">
      <c r="A46" t="s">
        <v>11</v>
      </c>
      <c r="B46" t="s">
        <v>210</v>
      </c>
      <c r="C46" t="s">
        <v>211</v>
      </c>
      <c r="D46" t="s">
        <v>212</v>
      </c>
      <c r="E46" t="s">
        <v>213</v>
      </c>
      <c r="F46" t="s">
        <v>214</v>
      </c>
      <c r="G46" s="4" t="s">
        <v>18</v>
      </c>
      <c r="H46" s="4" t="s">
        <v>18</v>
      </c>
      <c r="I46" s="4">
        <f t="shared" si="1"/>
        <v>1</v>
      </c>
    </row>
    <row r="47" spans="1:9" x14ac:dyDescent="0.35">
      <c r="A47" t="s">
        <v>215</v>
      </c>
      <c r="B47" t="s">
        <v>216</v>
      </c>
      <c r="C47" t="s">
        <v>151</v>
      </c>
      <c r="D47" t="s">
        <v>217</v>
      </c>
      <c r="E47" t="s">
        <v>218</v>
      </c>
      <c r="F47" t="s">
        <v>219</v>
      </c>
      <c r="G47" s="4" t="s">
        <v>18</v>
      </c>
      <c r="H47" s="4" t="s">
        <v>18</v>
      </c>
      <c r="I47" s="4">
        <f t="shared" si="1"/>
        <v>1</v>
      </c>
    </row>
    <row r="48" spans="1:9" x14ac:dyDescent="0.35">
      <c r="A48" t="s">
        <v>215</v>
      </c>
      <c r="B48" t="s">
        <v>220</v>
      </c>
      <c r="C48" t="s">
        <v>177</v>
      </c>
      <c r="D48" t="s">
        <v>221</v>
      </c>
      <c r="E48" t="s">
        <v>222</v>
      </c>
      <c r="F48" t="s">
        <v>176</v>
      </c>
      <c r="G48" s="4" t="s">
        <v>18</v>
      </c>
      <c r="H48" s="4" t="s">
        <v>18</v>
      </c>
      <c r="I48" s="4">
        <f t="shared" si="1"/>
        <v>1</v>
      </c>
    </row>
    <row r="49" spans="1:9" x14ac:dyDescent="0.35">
      <c r="A49" t="s">
        <v>215</v>
      </c>
      <c r="B49" t="s">
        <v>223</v>
      </c>
      <c r="C49" t="s">
        <v>224</v>
      </c>
      <c r="D49" t="s">
        <v>225</v>
      </c>
      <c r="E49" t="s">
        <v>226</v>
      </c>
      <c r="F49" t="s">
        <v>227</v>
      </c>
      <c r="G49" s="4" t="s">
        <v>52</v>
      </c>
      <c r="H49" s="4" t="s">
        <v>52</v>
      </c>
      <c r="I49" s="4">
        <f t="shared" si="1"/>
        <v>1</v>
      </c>
    </row>
    <row r="50" spans="1:9" x14ac:dyDescent="0.35">
      <c r="A50" t="s">
        <v>215</v>
      </c>
      <c r="B50" t="s">
        <v>228</v>
      </c>
      <c r="C50" t="s">
        <v>229</v>
      </c>
      <c r="D50" t="s">
        <v>230</v>
      </c>
      <c r="E50" t="s">
        <v>231</v>
      </c>
      <c r="F50" t="s">
        <v>232</v>
      </c>
      <c r="G50" s="4" t="s">
        <v>12</v>
      </c>
      <c r="H50" s="4" t="s">
        <v>12</v>
      </c>
      <c r="I50" s="4">
        <f t="shared" si="1"/>
        <v>1</v>
      </c>
    </row>
    <row r="51" spans="1:9" x14ac:dyDescent="0.35">
      <c r="A51" t="s">
        <v>215</v>
      </c>
      <c r="B51" t="s">
        <v>233</v>
      </c>
      <c r="C51" t="s">
        <v>232</v>
      </c>
      <c r="D51" t="s">
        <v>229</v>
      </c>
      <c r="E51" t="s">
        <v>68</v>
      </c>
      <c r="F51" t="s">
        <v>17</v>
      </c>
      <c r="G51" s="4" t="s">
        <v>18</v>
      </c>
      <c r="H51" s="4" t="s">
        <v>18</v>
      </c>
      <c r="I51" s="4">
        <f t="shared" si="1"/>
        <v>1</v>
      </c>
    </row>
    <row r="52" spans="1:9" x14ac:dyDescent="0.35">
      <c r="A52" t="s">
        <v>234</v>
      </c>
      <c r="B52" t="s">
        <v>235</v>
      </c>
      <c r="C52" t="s">
        <v>206</v>
      </c>
      <c r="D52" t="s">
        <v>207</v>
      </c>
      <c r="E52" t="s">
        <v>236</v>
      </c>
      <c r="F52" t="s">
        <v>237</v>
      </c>
      <c r="G52" s="4" t="s">
        <v>52</v>
      </c>
      <c r="H52" s="4" t="s">
        <v>52</v>
      </c>
      <c r="I52" s="4">
        <f t="shared" si="1"/>
        <v>1</v>
      </c>
    </row>
    <row r="53" spans="1:9" x14ac:dyDescent="0.35">
      <c r="A53" t="s">
        <v>234</v>
      </c>
      <c r="B53" t="s">
        <v>238</v>
      </c>
      <c r="C53" t="s">
        <v>206</v>
      </c>
      <c r="D53" t="s">
        <v>207</v>
      </c>
      <c r="E53" t="s">
        <v>236</v>
      </c>
      <c r="F53" t="s">
        <v>239</v>
      </c>
      <c r="G53" s="4" t="s">
        <v>18</v>
      </c>
      <c r="H53" s="4" t="s">
        <v>18</v>
      </c>
      <c r="I53" s="4">
        <f t="shared" si="1"/>
        <v>1</v>
      </c>
    </row>
    <row r="54" spans="1:9" x14ac:dyDescent="0.35">
      <c r="A54" t="s">
        <v>234</v>
      </c>
      <c r="B54" t="s">
        <v>240</v>
      </c>
      <c r="C54" t="s">
        <v>206</v>
      </c>
      <c r="D54" t="s">
        <v>207</v>
      </c>
      <c r="E54" t="s">
        <v>236</v>
      </c>
      <c r="F54" t="s">
        <v>241</v>
      </c>
      <c r="G54" s="4" t="s">
        <v>12</v>
      </c>
      <c r="H54" s="4" t="s">
        <v>12</v>
      </c>
      <c r="I54" s="4">
        <f t="shared" si="1"/>
        <v>1</v>
      </c>
    </row>
    <row r="55" spans="1:9" x14ac:dyDescent="0.35">
      <c r="A55" t="s">
        <v>234</v>
      </c>
      <c r="B55" t="s">
        <v>242</v>
      </c>
      <c r="C55" t="s">
        <v>243</v>
      </c>
      <c r="D55" t="s">
        <v>244</v>
      </c>
      <c r="E55" t="s">
        <v>245</v>
      </c>
      <c r="F55" t="s">
        <v>246</v>
      </c>
      <c r="G55" s="4" t="s">
        <v>12</v>
      </c>
      <c r="H55" s="4" t="s">
        <v>12</v>
      </c>
      <c r="I55" s="4">
        <f t="shared" si="1"/>
        <v>1</v>
      </c>
    </row>
    <row r="56" spans="1:9" x14ac:dyDescent="0.35">
      <c r="A56" t="s">
        <v>234</v>
      </c>
      <c r="B56" t="s">
        <v>247</v>
      </c>
      <c r="C56" t="s">
        <v>248</v>
      </c>
      <c r="D56" t="s">
        <v>249</v>
      </c>
      <c r="E56" t="s">
        <v>250</v>
      </c>
      <c r="F56" t="s">
        <v>251</v>
      </c>
      <c r="G56" s="4" t="s">
        <v>18</v>
      </c>
      <c r="H56" s="4" t="s">
        <v>18</v>
      </c>
      <c r="I56" s="4">
        <f t="shared" si="1"/>
        <v>1</v>
      </c>
    </row>
    <row r="57" spans="1:9" x14ac:dyDescent="0.35">
      <c r="A57" t="s">
        <v>252</v>
      </c>
      <c r="B57" t="s">
        <v>253</v>
      </c>
      <c r="C57" t="s">
        <v>206</v>
      </c>
      <c r="D57" t="s">
        <v>254</v>
      </c>
      <c r="E57" t="s">
        <v>241</v>
      </c>
      <c r="F57" t="s">
        <v>255</v>
      </c>
      <c r="G57" s="4" t="s">
        <v>18</v>
      </c>
      <c r="H57" s="4" t="s">
        <v>18</v>
      </c>
      <c r="I57" s="4">
        <f t="shared" si="1"/>
        <v>1</v>
      </c>
    </row>
    <row r="58" spans="1:9" x14ac:dyDescent="0.35">
      <c r="A58" t="s">
        <v>252</v>
      </c>
      <c r="B58" t="s">
        <v>256</v>
      </c>
      <c r="C58" t="s">
        <v>254</v>
      </c>
      <c r="D58" t="s">
        <v>241</v>
      </c>
      <c r="E58" t="s">
        <v>206</v>
      </c>
      <c r="F58" t="s">
        <v>257</v>
      </c>
      <c r="G58" s="4" t="s">
        <v>18</v>
      </c>
      <c r="H58" s="4" t="s">
        <v>18</v>
      </c>
      <c r="I58" s="4">
        <f t="shared" si="1"/>
        <v>1</v>
      </c>
    </row>
    <row r="59" spans="1:9" x14ac:dyDescent="0.35">
      <c r="A59" t="s">
        <v>252</v>
      </c>
      <c r="B59" t="s">
        <v>258</v>
      </c>
      <c r="C59" t="s">
        <v>259</v>
      </c>
      <c r="D59" t="s">
        <v>248</v>
      </c>
      <c r="E59" t="s">
        <v>260</v>
      </c>
      <c r="F59" t="s">
        <v>261</v>
      </c>
      <c r="G59" s="4" t="s">
        <v>12</v>
      </c>
      <c r="H59" s="4" t="s">
        <v>12</v>
      </c>
      <c r="I59" s="4">
        <f t="shared" si="1"/>
        <v>1</v>
      </c>
    </row>
    <row r="60" spans="1:9" x14ac:dyDescent="0.35">
      <c r="A60" t="s">
        <v>252</v>
      </c>
      <c r="B60" t="s">
        <v>262</v>
      </c>
      <c r="C60" t="s">
        <v>263</v>
      </c>
      <c r="D60" t="s">
        <v>264</v>
      </c>
      <c r="E60" t="s">
        <v>265</v>
      </c>
      <c r="F60" t="s">
        <v>266</v>
      </c>
      <c r="G60" s="4" t="s">
        <v>99</v>
      </c>
      <c r="H60" s="4" t="s">
        <v>99</v>
      </c>
      <c r="I60" s="4">
        <f t="shared" si="1"/>
        <v>1</v>
      </c>
    </row>
    <row r="61" spans="1:9" x14ac:dyDescent="0.35">
      <c r="A61" t="s">
        <v>252</v>
      </c>
      <c r="B61" t="s">
        <v>267</v>
      </c>
      <c r="C61" t="s">
        <v>166</v>
      </c>
      <c r="D61" t="s">
        <v>268</v>
      </c>
      <c r="E61" t="s">
        <v>269</v>
      </c>
      <c r="F61" t="s">
        <v>270</v>
      </c>
      <c r="G61" s="4" t="s">
        <v>12</v>
      </c>
      <c r="H61" s="4" t="s">
        <v>12</v>
      </c>
      <c r="I61" s="4">
        <f t="shared" si="1"/>
        <v>1</v>
      </c>
    </row>
    <row r="62" spans="1:9" x14ac:dyDescent="0.35">
      <c r="A62" t="s">
        <v>271</v>
      </c>
      <c r="B62" t="s">
        <v>272</v>
      </c>
      <c r="C62" t="s">
        <v>273</v>
      </c>
      <c r="D62" t="s">
        <v>274</v>
      </c>
      <c r="E62" t="s">
        <v>275</v>
      </c>
      <c r="F62" t="s">
        <v>276</v>
      </c>
      <c r="G62" s="4" t="s">
        <v>12</v>
      </c>
      <c r="H62" s="4" t="s">
        <v>12</v>
      </c>
      <c r="I62" s="4">
        <f t="shared" si="1"/>
        <v>1</v>
      </c>
    </row>
    <row r="63" spans="1:9" x14ac:dyDescent="0.35">
      <c r="A63" t="s">
        <v>271</v>
      </c>
      <c r="B63" t="s">
        <v>277</v>
      </c>
      <c r="C63" t="s">
        <v>30</v>
      </c>
      <c r="D63" t="s">
        <v>278</v>
      </c>
      <c r="E63" t="s">
        <v>279</v>
      </c>
      <c r="F63" t="s">
        <v>280</v>
      </c>
      <c r="G63" s="4" t="s">
        <v>12</v>
      </c>
      <c r="H63" s="4" t="s">
        <v>12</v>
      </c>
      <c r="I63" s="4">
        <f t="shared" si="1"/>
        <v>1</v>
      </c>
    </row>
    <row r="64" spans="1:9" x14ac:dyDescent="0.35">
      <c r="A64" t="s">
        <v>271</v>
      </c>
      <c r="B64" t="s">
        <v>281</v>
      </c>
      <c r="C64" t="s">
        <v>276</v>
      </c>
      <c r="D64" t="s">
        <v>280</v>
      </c>
      <c r="E64" t="s">
        <v>282</v>
      </c>
      <c r="F64" t="s">
        <v>283</v>
      </c>
      <c r="G64" s="4" t="s">
        <v>18</v>
      </c>
      <c r="H64" s="4" t="s">
        <v>18</v>
      </c>
      <c r="I64" s="4">
        <f t="shared" si="1"/>
        <v>1</v>
      </c>
    </row>
    <row r="65" spans="1:9" x14ac:dyDescent="0.35">
      <c r="A65" t="s">
        <v>271</v>
      </c>
      <c r="B65" t="s">
        <v>284</v>
      </c>
      <c r="C65" t="s">
        <v>285</v>
      </c>
      <c r="D65" t="s">
        <v>286</v>
      </c>
      <c r="E65" t="s">
        <v>287</v>
      </c>
      <c r="F65" t="s">
        <v>288</v>
      </c>
      <c r="G65" s="4" t="s">
        <v>12</v>
      </c>
      <c r="H65" s="4" t="s">
        <v>18</v>
      </c>
      <c r="I65" s="4">
        <f t="shared" si="1"/>
        <v>0</v>
      </c>
    </row>
    <row r="66" spans="1:9" x14ac:dyDescent="0.35">
      <c r="A66" t="s">
        <v>271</v>
      </c>
      <c r="B66" t="s">
        <v>289</v>
      </c>
      <c r="C66" t="s">
        <v>290</v>
      </c>
      <c r="D66" t="s">
        <v>291</v>
      </c>
      <c r="E66" t="s">
        <v>292</v>
      </c>
      <c r="F66" t="s">
        <v>293</v>
      </c>
      <c r="G66" s="4" t="s">
        <v>12</v>
      </c>
      <c r="H66" s="4" t="s">
        <v>12</v>
      </c>
      <c r="I66" s="4">
        <f t="shared" ref="I66:I97" si="2">IF(TRIM(G66)=TRIM(H66),1,0)</f>
        <v>1</v>
      </c>
    </row>
    <row r="67" spans="1:9" x14ac:dyDescent="0.35">
      <c r="A67" t="s">
        <v>294</v>
      </c>
      <c r="B67" t="s">
        <v>295</v>
      </c>
      <c r="C67" t="s">
        <v>296</v>
      </c>
      <c r="D67" t="s">
        <v>297</v>
      </c>
      <c r="E67" t="s">
        <v>273</v>
      </c>
      <c r="F67" t="s">
        <v>298</v>
      </c>
      <c r="G67" s="4" t="s">
        <v>52</v>
      </c>
      <c r="H67" s="4" t="s">
        <v>52</v>
      </c>
      <c r="I67" s="4">
        <f t="shared" si="2"/>
        <v>1</v>
      </c>
    </row>
    <row r="68" spans="1:9" x14ac:dyDescent="0.35">
      <c r="A68" t="s">
        <v>294</v>
      </c>
      <c r="B68" t="s">
        <v>299</v>
      </c>
      <c r="C68" t="s">
        <v>282</v>
      </c>
      <c r="D68" t="s">
        <v>276</v>
      </c>
      <c r="E68" t="s">
        <v>300</v>
      </c>
      <c r="F68" t="s">
        <v>280</v>
      </c>
      <c r="G68" s="4" t="s">
        <v>18</v>
      </c>
      <c r="H68" s="4" t="s">
        <v>18</v>
      </c>
      <c r="I68" s="4">
        <f t="shared" si="2"/>
        <v>1</v>
      </c>
    </row>
    <row r="69" spans="1:9" x14ac:dyDescent="0.35">
      <c r="A69" t="s">
        <v>294</v>
      </c>
      <c r="B69" t="s">
        <v>301</v>
      </c>
      <c r="C69" t="s">
        <v>95</v>
      </c>
      <c r="D69" t="s">
        <v>302</v>
      </c>
      <c r="E69" t="s">
        <v>303</v>
      </c>
      <c r="F69" t="s">
        <v>304</v>
      </c>
      <c r="G69" s="4" t="s">
        <v>12</v>
      </c>
      <c r="H69" s="4" t="s">
        <v>12</v>
      </c>
      <c r="I69" s="4">
        <f t="shared" si="2"/>
        <v>1</v>
      </c>
    </row>
    <row r="70" spans="1:9" x14ac:dyDescent="0.35">
      <c r="A70" t="s">
        <v>294</v>
      </c>
      <c r="B70" t="s">
        <v>305</v>
      </c>
      <c r="C70" t="s">
        <v>306</v>
      </c>
      <c r="D70" t="s">
        <v>307</v>
      </c>
      <c r="E70" t="s">
        <v>308</v>
      </c>
      <c r="F70" t="s">
        <v>309</v>
      </c>
      <c r="G70" s="4" t="s">
        <v>18</v>
      </c>
      <c r="H70" s="4" t="s">
        <v>18</v>
      </c>
      <c r="I70" s="4">
        <f t="shared" si="2"/>
        <v>1</v>
      </c>
    </row>
    <row r="71" spans="1:9" x14ac:dyDescent="0.35">
      <c r="A71" t="s">
        <v>294</v>
      </c>
      <c r="B71" t="s">
        <v>310</v>
      </c>
      <c r="C71" t="s">
        <v>311</v>
      </c>
      <c r="D71" t="s">
        <v>312</v>
      </c>
      <c r="E71" t="s">
        <v>313</v>
      </c>
      <c r="F71" t="s">
        <v>314</v>
      </c>
      <c r="G71" s="4" t="s">
        <v>52</v>
      </c>
      <c r="H71" s="4" t="s">
        <v>52</v>
      </c>
      <c r="I71" s="4">
        <f t="shared" si="2"/>
        <v>1</v>
      </c>
    </row>
    <row r="72" spans="1:9" x14ac:dyDescent="0.35">
      <c r="A72" t="s">
        <v>315</v>
      </c>
      <c r="B72" t="s">
        <v>316</v>
      </c>
      <c r="C72" t="s">
        <v>78</v>
      </c>
      <c r="D72" t="s">
        <v>280</v>
      </c>
      <c r="E72" t="s">
        <v>317</v>
      </c>
      <c r="F72" t="s">
        <v>40</v>
      </c>
      <c r="G72" s="4" t="s">
        <v>12</v>
      </c>
      <c r="H72" s="4" t="s">
        <v>12</v>
      </c>
      <c r="I72" s="4">
        <f t="shared" si="2"/>
        <v>1</v>
      </c>
    </row>
    <row r="73" spans="1:9" x14ac:dyDescent="0.35">
      <c r="A73" t="s">
        <v>315</v>
      </c>
      <c r="B73" t="s">
        <v>318</v>
      </c>
      <c r="C73" t="s">
        <v>319</v>
      </c>
      <c r="D73" t="s">
        <v>14</v>
      </c>
      <c r="E73" t="s">
        <v>320</v>
      </c>
      <c r="F73" t="s">
        <v>229</v>
      </c>
      <c r="G73" s="4" t="s">
        <v>12</v>
      </c>
      <c r="H73" s="4" t="s">
        <v>12</v>
      </c>
      <c r="I73" s="4">
        <f t="shared" si="2"/>
        <v>1</v>
      </c>
    </row>
    <row r="74" spans="1:9" x14ac:dyDescent="0.35">
      <c r="A74" t="s">
        <v>315</v>
      </c>
      <c r="B74" t="s">
        <v>321</v>
      </c>
      <c r="C74" t="s">
        <v>319</v>
      </c>
      <c r="D74" t="s">
        <v>322</v>
      </c>
      <c r="E74" t="s">
        <v>323</v>
      </c>
      <c r="F74" t="s">
        <v>324</v>
      </c>
      <c r="G74" s="4" t="s">
        <v>12</v>
      </c>
      <c r="H74" s="4" t="s">
        <v>12</v>
      </c>
      <c r="I74" s="4">
        <f t="shared" si="2"/>
        <v>1</v>
      </c>
    </row>
    <row r="75" spans="1:9" x14ac:dyDescent="0.35">
      <c r="A75" t="s">
        <v>315</v>
      </c>
      <c r="B75" t="s">
        <v>325</v>
      </c>
      <c r="C75" t="s">
        <v>157</v>
      </c>
      <c r="D75" t="s">
        <v>326</v>
      </c>
      <c r="E75" t="s">
        <v>327</v>
      </c>
      <c r="F75" t="s">
        <v>266</v>
      </c>
      <c r="G75" s="4" t="s">
        <v>18</v>
      </c>
      <c r="H75" s="4" t="s">
        <v>18</v>
      </c>
      <c r="I75" s="4">
        <f t="shared" si="2"/>
        <v>1</v>
      </c>
    </row>
    <row r="76" spans="1:9" x14ac:dyDescent="0.35">
      <c r="A76" t="s">
        <v>315</v>
      </c>
      <c r="B76" t="s">
        <v>328</v>
      </c>
      <c r="C76" t="s">
        <v>329</v>
      </c>
      <c r="D76" t="s">
        <v>330</v>
      </c>
      <c r="E76" t="s">
        <v>331</v>
      </c>
      <c r="F76" t="s">
        <v>332</v>
      </c>
      <c r="G76" s="4" t="s">
        <v>18</v>
      </c>
      <c r="H76" s="4" t="s">
        <v>18</v>
      </c>
      <c r="I76" s="4">
        <f t="shared" si="2"/>
        <v>1</v>
      </c>
    </row>
    <row r="77" spans="1:9" x14ac:dyDescent="0.35">
      <c r="A77" t="s">
        <v>333</v>
      </c>
      <c r="B77" t="s">
        <v>334</v>
      </c>
      <c r="C77" t="s">
        <v>335</v>
      </c>
      <c r="D77" t="s">
        <v>336</v>
      </c>
      <c r="E77" t="s">
        <v>337</v>
      </c>
      <c r="F77" t="s">
        <v>9</v>
      </c>
      <c r="G77" s="4" t="s">
        <v>12</v>
      </c>
      <c r="H77" s="4" t="s">
        <v>12</v>
      </c>
      <c r="I77" s="4">
        <f t="shared" si="2"/>
        <v>1</v>
      </c>
    </row>
    <row r="78" spans="1:9" x14ac:dyDescent="0.35">
      <c r="A78" t="s">
        <v>333</v>
      </c>
      <c r="B78" t="s">
        <v>338</v>
      </c>
      <c r="C78" t="s">
        <v>339</v>
      </c>
      <c r="D78" t="s">
        <v>340</v>
      </c>
      <c r="E78" t="s">
        <v>341</v>
      </c>
      <c r="F78" t="s">
        <v>342</v>
      </c>
      <c r="G78" s="4" t="s">
        <v>52</v>
      </c>
      <c r="H78" s="4" t="s">
        <v>18</v>
      </c>
      <c r="I78" s="4">
        <f t="shared" si="2"/>
        <v>0</v>
      </c>
    </row>
    <row r="79" spans="1:9" x14ac:dyDescent="0.35">
      <c r="A79" t="s">
        <v>333</v>
      </c>
      <c r="B79" t="s">
        <v>343</v>
      </c>
      <c r="C79" t="s">
        <v>302</v>
      </c>
      <c r="D79" t="s">
        <v>344</v>
      </c>
      <c r="E79" t="s">
        <v>345</v>
      </c>
      <c r="F79" t="s">
        <v>346</v>
      </c>
      <c r="G79" s="4" t="s">
        <v>12</v>
      </c>
      <c r="H79" s="4" t="s">
        <v>12</v>
      </c>
      <c r="I79" s="4">
        <f t="shared" si="2"/>
        <v>1</v>
      </c>
    </row>
    <row r="80" spans="1:9" x14ac:dyDescent="0.35">
      <c r="A80" t="s">
        <v>333</v>
      </c>
      <c r="B80" t="s">
        <v>347</v>
      </c>
      <c r="C80" t="s">
        <v>348</v>
      </c>
      <c r="D80" t="s">
        <v>349</v>
      </c>
      <c r="E80" t="s">
        <v>350</v>
      </c>
      <c r="F80" t="s">
        <v>351</v>
      </c>
      <c r="G80" s="4" t="s">
        <v>12</v>
      </c>
      <c r="H80" s="4" t="s">
        <v>12</v>
      </c>
      <c r="I80" s="4">
        <f t="shared" si="2"/>
        <v>1</v>
      </c>
    </row>
    <row r="81" spans="1:9" x14ac:dyDescent="0.35">
      <c r="A81" t="s">
        <v>333</v>
      </c>
      <c r="B81" t="s">
        <v>352</v>
      </c>
      <c r="C81" t="s">
        <v>353</v>
      </c>
      <c r="D81" t="s">
        <v>354</v>
      </c>
      <c r="E81" t="s">
        <v>355</v>
      </c>
      <c r="F81" t="s">
        <v>356</v>
      </c>
      <c r="G81" s="4" t="s">
        <v>12</v>
      </c>
      <c r="H81" s="4" t="s">
        <v>12</v>
      </c>
      <c r="I81" s="4">
        <f t="shared" si="2"/>
        <v>1</v>
      </c>
    </row>
    <row r="82" spans="1:9" x14ac:dyDescent="0.35">
      <c r="A82" t="s">
        <v>357</v>
      </c>
      <c r="B82" t="s">
        <v>358</v>
      </c>
      <c r="C82" t="s">
        <v>359</v>
      </c>
      <c r="D82" t="s">
        <v>360</v>
      </c>
      <c r="E82" t="s">
        <v>361</v>
      </c>
      <c r="F82" t="s">
        <v>362</v>
      </c>
      <c r="G82" s="4" t="s">
        <v>18</v>
      </c>
      <c r="H82" s="4" t="s">
        <v>18</v>
      </c>
      <c r="I82" s="4">
        <f t="shared" si="2"/>
        <v>1</v>
      </c>
    </row>
    <row r="83" spans="1:9" x14ac:dyDescent="0.35">
      <c r="A83" t="s">
        <v>357</v>
      </c>
      <c r="B83" t="s">
        <v>363</v>
      </c>
      <c r="C83" t="s">
        <v>364</v>
      </c>
      <c r="D83" t="s">
        <v>365</v>
      </c>
      <c r="E83" t="s">
        <v>366</v>
      </c>
      <c r="F83" t="s">
        <v>298</v>
      </c>
      <c r="G83" s="4" t="s">
        <v>18</v>
      </c>
      <c r="H83" s="4" t="s">
        <v>18</v>
      </c>
      <c r="I83" s="4">
        <f t="shared" si="2"/>
        <v>1</v>
      </c>
    </row>
    <row r="84" spans="1:9" x14ac:dyDescent="0.35">
      <c r="A84" t="s">
        <v>357</v>
      </c>
      <c r="B84" t="s">
        <v>367</v>
      </c>
      <c r="C84" t="s">
        <v>368</v>
      </c>
      <c r="D84" t="s">
        <v>369</v>
      </c>
      <c r="E84" t="s">
        <v>370</v>
      </c>
      <c r="F84" t="s">
        <v>371</v>
      </c>
      <c r="G84" s="4" t="s">
        <v>18</v>
      </c>
      <c r="H84" s="4" t="s">
        <v>18</v>
      </c>
      <c r="I84" s="4">
        <f t="shared" si="2"/>
        <v>1</v>
      </c>
    </row>
    <row r="85" spans="1:9" x14ac:dyDescent="0.35">
      <c r="A85" t="s">
        <v>357</v>
      </c>
      <c r="B85" t="s">
        <v>372</v>
      </c>
      <c r="C85" t="s">
        <v>373</v>
      </c>
      <c r="D85" t="s">
        <v>374</v>
      </c>
      <c r="E85" t="s">
        <v>320</v>
      </c>
      <c r="F85" t="s">
        <v>375</v>
      </c>
      <c r="G85" s="4" t="s">
        <v>12</v>
      </c>
      <c r="H85" s="4" t="s">
        <v>12</v>
      </c>
      <c r="I85" s="4">
        <f t="shared" si="2"/>
        <v>1</v>
      </c>
    </row>
    <row r="86" spans="1:9" x14ac:dyDescent="0.35">
      <c r="A86" t="s">
        <v>357</v>
      </c>
      <c r="B86" t="s">
        <v>376</v>
      </c>
      <c r="C86" t="s">
        <v>377</v>
      </c>
      <c r="D86" t="s">
        <v>378</v>
      </c>
      <c r="E86" t="s">
        <v>379</v>
      </c>
      <c r="F86" t="s">
        <v>380</v>
      </c>
      <c r="G86" s="4" t="s">
        <v>18</v>
      </c>
      <c r="H86" s="4" t="s">
        <v>18</v>
      </c>
      <c r="I86" s="4">
        <f t="shared" si="2"/>
        <v>1</v>
      </c>
    </row>
    <row r="87" spans="1:9" x14ac:dyDescent="0.35">
      <c r="A87" t="s">
        <v>381</v>
      </c>
      <c r="B87" t="s">
        <v>382</v>
      </c>
      <c r="C87" t="s">
        <v>383</v>
      </c>
      <c r="D87" t="s">
        <v>384</v>
      </c>
      <c r="E87" t="s">
        <v>385</v>
      </c>
      <c r="F87" t="s">
        <v>386</v>
      </c>
      <c r="G87" s="4" t="s">
        <v>12</v>
      </c>
      <c r="H87" s="4" t="s">
        <v>12</v>
      </c>
      <c r="I87" s="4">
        <f t="shared" si="2"/>
        <v>1</v>
      </c>
    </row>
    <row r="88" spans="1:9" x14ac:dyDescent="0.35">
      <c r="A88" t="s">
        <v>381</v>
      </c>
      <c r="B88" t="s">
        <v>387</v>
      </c>
      <c r="C88">
        <v>5.6000000000000001E-2</v>
      </c>
      <c r="D88">
        <v>5.8999999999999997E-2</v>
      </c>
      <c r="E88">
        <v>6.4000000000000001E-2</v>
      </c>
      <c r="F88">
        <v>6.5000000000000002E-2</v>
      </c>
      <c r="G88" s="4" t="s">
        <v>99</v>
      </c>
      <c r="H88" s="4" t="s">
        <v>99</v>
      </c>
      <c r="I88" s="4">
        <f t="shared" si="2"/>
        <v>1</v>
      </c>
    </row>
    <row r="89" spans="1:9" x14ac:dyDescent="0.35">
      <c r="A89" t="s">
        <v>381</v>
      </c>
      <c r="B89" t="s">
        <v>388</v>
      </c>
      <c r="C89" t="s">
        <v>389</v>
      </c>
      <c r="D89" t="s">
        <v>390</v>
      </c>
      <c r="E89" t="s">
        <v>391</v>
      </c>
      <c r="F89" t="s">
        <v>392</v>
      </c>
      <c r="G89" s="4" t="s">
        <v>18</v>
      </c>
      <c r="H89" s="4" t="s">
        <v>18</v>
      </c>
      <c r="I89" s="4">
        <f t="shared" si="2"/>
        <v>1</v>
      </c>
    </row>
    <row r="90" spans="1:9" x14ac:dyDescent="0.35">
      <c r="A90" t="s">
        <v>381</v>
      </c>
      <c r="B90" t="s">
        <v>393</v>
      </c>
      <c r="C90" t="s">
        <v>394</v>
      </c>
      <c r="D90" t="s">
        <v>326</v>
      </c>
      <c r="E90" t="s">
        <v>395</v>
      </c>
      <c r="F90" t="s">
        <v>396</v>
      </c>
      <c r="G90" s="4" t="s">
        <v>18</v>
      </c>
      <c r="H90" s="4" t="s">
        <v>18</v>
      </c>
      <c r="I90" s="4">
        <f t="shared" si="2"/>
        <v>1</v>
      </c>
    </row>
    <row r="91" spans="1:9" x14ac:dyDescent="0.35">
      <c r="A91" t="s">
        <v>381</v>
      </c>
      <c r="B91" t="s">
        <v>397</v>
      </c>
      <c r="C91" t="s">
        <v>398</v>
      </c>
      <c r="D91" t="s">
        <v>399</v>
      </c>
      <c r="E91" t="s">
        <v>400</v>
      </c>
      <c r="F91" t="s">
        <v>401</v>
      </c>
      <c r="G91" s="4" t="s">
        <v>99</v>
      </c>
      <c r="H91" s="4" t="s">
        <v>99</v>
      </c>
      <c r="I91" s="4">
        <f t="shared" si="2"/>
        <v>1</v>
      </c>
    </row>
    <row r="92" spans="1:9" x14ac:dyDescent="0.35">
      <c r="A92" t="s">
        <v>402</v>
      </c>
      <c r="B92" t="s">
        <v>403</v>
      </c>
      <c r="C92" t="s">
        <v>404</v>
      </c>
      <c r="D92" t="s">
        <v>319</v>
      </c>
      <c r="E92" t="s">
        <v>405</v>
      </c>
      <c r="F92" t="s">
        <v>406</v>
      </c>
      <c r="G92" s="4" t="s">
        <v>18</v>
      </c>
      <c r="H92" s="4" t="s">
        <v>18</v>
      </c>
      <c r="I92" s="4">
        <f t="shared" si="2"/>
        <v>1</v>
      </c>
    </row>
    <row r="93" spans="1:9" x14ac:dyDescent="0.35">
      <c r="A93" t="s">
        <v>402</v>
      </c>
      <c r="B93" t="s">
        <v>407</v>
      </c>
      <c r="C93" t="s">
        <v>405</v>
      </c>
      <c r="D93" t="s">
        <v>408</v>
      </c>
      <c r="E93" t="s">
        <v>409</v>
      </c>
      <c r="F93" t="s">
        <v>410</v>
      </c>
      <c r="G93" s="4" t="s">
        <v>12</v>
      </c>
      <c r="H93" s="4" t="s">
        <v>12</v>
      </c>
      <c r="I93" s="4">
        <f t="shared" si="2"/>
        <v>1</v>
      </c>
    </row>
    <row r="94" spans="1:9" x14ac:dyDescent="0.35">
      <c r="A94" t="s">
        <v>402</v>
      </c>
      <c r="B94" t="s">
        <v>411</v>
      </c>
      <c r="C94" t="s">
        <v>412</v>
      </c>
      <c r="D94" t="s">
        <v>413</v>
      </c>
      <c r="E94" t="s">
        <v>414</v>
      </c>
      <c r="F94" t="s">
        <v>415</v>
      </c>
      <c r="G94" s="4" t="s">
        <v>18</v>
      </c>
      <c r="H94" s="4" t="s">
        <v>18</v>
      </c>
      <c r="I94" s="4">
        <f t="shared" si="2"/>
        <v>1</v>
      </c>
    </row>
    <row r="95" spans="1:9" x14ac:dyDescent="0.35">
      <c r="A95" t="s">
        <v>402</v>
      </c>
      <c r="B95" t="s">
        <v>416</v>
      </c>
      <c r="C95" t="s">
        <v>417</v>
      </c>
      <c r="D95" t="s">
        <v>418</v>
      </c>
      <c r="E95" t="s">
        <v>419</v>
      </c>
      <c r="F95" t="s">
        <v>420</v>
      </c>
      <c r="G95" s="4" t="s">
        <v>12</v>
      </c>
      <c r="H95" s="4" t="s">
        <v>12</v>
      </c>
      <c r="I95" s="4">
        <f t="shared" si="2"/>
        <v>1</v>
      </c>
    </row>
    <row r="96" spans="1:9" x14ac:dyDescent="0.35">
      <c r="A96" t="s">
        <v>402</v>
      </c>
      <c r="B96" t="s">
        <v>421</v>
      </c>
      <c r="C96" t="s">
        <v>406</v>
      </c>
      <c r="D96" t="s">
        <v>405</v>
      </c>
      <c r="E96" t="s">
        <v>404</v>
      </c>
      <c r="F96" t="s">
        <v>319</v>
      </c>
      <c r="G96" s="4" t="s">
        <v>12</v>
      </c>
      <c r="H96" s="4" t="s">
        <v>12</v>
      </c>
      <c r="I96" s="4">
        <f t="shared" si="2"/>
        <v>1</v>
      </c>
    </row>
    <row r="97" spans="1:9" x14ac:dyDescent="0.35">
      <c r="A97" t="s">
        <v>422</v>
      </c>
      <c r="B97" t="s">
        <v>423</v>
      </c>
      <c r="C97" t="s">
        <v>424</v>
      </c>
      <c r="D97" t="s">
        <v>425</v>
      </c>
      <c r="E97" t="s">
        <v>426</v>
      </c>
      <c r="F97" t="s">
        <v>182</v>
      </c>
      <c r="G97" s="4" t="s">
        <v>12</v>
      </c>
      <c r="H97" s="4" t="s">
        <v>12</v>
      </c>
      <c r="I97" s="4">
        <f t="shared" si="2"/>
        <v>1</v>
      </c>
    </row>
    <row r="98" spans="1:9" x14ac:dyDescent="0.35">
      <c r="A98" t="s">
        <v>422</v>
      </c>
      <c r="B98" t="s">
        <v>427</v>
      </c>
      <c r="C98" t="s">
        <v>428</v>
      </c>
      <c r="D98" t="s">
        <v>429</v>
      </c>
      <c r="E98" t="s">
        <v>430</v>
      </c>
      <c r="F98" t="s">
        <v>431</v>
      </c>
      <c r="G98" s="4" t="s">
        <v>18</v>
      </c>
      <c r="H98" s="4" t="s">
        <v>18</v>
      </c>
      <c r="I98" s="4">
        <f t="shared" ref="I98:I129" si="3">IF(TRIM(G98)=TRIM(H98),1,0)</f>
        <v>1</v>
      </c>
    </row>
    <row r="99" spans="1:9" x14ac:dyDescent="0.35">
      <c r="A99" t="s">
        <v>422</v>
      </c>
      <c r="B99" t="s">
        <v>432</v>
      </c>
      <c r="C99" t="s">
        <v>433</v>
      </c>
      <c r="D99" t="s">
        <v>434</v>
      </c>
      <c r="E99" t="s">
        <v>327</v>
      </c>
      <c r="F99" t="s">
        <v>435</v>
      </c>
      <c r="G99" s="4" t="s">
        <v>12</v>
      </c>
      <c r="H99" s="4" t="s">
        <v>12</v>
      </c>
      <c r="I99" s="4">
        <f t="shared" si="3"/>
        <v>1</v>
      </c>
    </row>
    <row r="100" spans="1:9" x14ac:dyDescent="0.35">
      <c r="A100" t="s">
        <v>422</v>
      </c>
      <c r="B100" t="s">
        <v>436</v>
      </c>
      <c r="C100" t="s">
        <v>437</v>
      </c>
      <c r="D100" t="s">
        <v>327</v>
      </c>
      <c r="E100" t="s">
        <v>438</v>
      </c>
      <c r="F100" t="s">
        <v>439</v>
      </c>
      <c r="G100" s="4" t="s">
        <v>12</v>
      </c>
      <c r="H100" s="4" t="s">
        <v>12</v>
      </c>
      <c r="I100" s="4">
        <f t="shared" si="3"/>
        <v>1</v>
      </c>
    </row>
    <row r="101" spans="1:9" x14ac:dyDescent="0.35">
      <c r="A101" t="s">
        <v>422</v>
      </c>
      <c r="B101" t="s">
        <v>440</v>
      </c>
      <c r="C101" t="s">
        <v>441</v>
      </c>
      <c r="D101" t="s">
        <v>442</v>
      </c>
      <c r="E101" t="s">
        <v>443</v>
      </c>
      <c r="F101" t="s">
        <v>444</v>
      </c>
      <c r="G101" s="4" t="s">
        <v>12</v>
      </c>
      <c r="H101" s="4" t="s">
        <v>12</v>
      </c>
      <c r="I101" s="4">
        <f t="shared" si="3"/>
        <v>1</v>
      </c>
    </row>
    <row r="102" spans="1:9" x14ac:dyDescent="0.35">
      <c r="A102" t="s">
        <v>445</v>
      </c>
      <c r="B102" t="s">
        <v>446</v>
      </c>
      <c r="C102" t="s">
        <v>447</v>
      </c>
      <c r="D102" t="s">
        <v>448</v>
      </c>
      <c r="E102" t="s">
        <v>449</v>
      </c>
      <c r="F102" t="s">
        <v>450</v>
      </c>
      <c r="G102" s="4" t="s">
        <v>18</v>
      </c>
      <c r="H102" s="4" t="s">
        <v>18</v>
      </c>
      <c r="I102" s="4">
        <f t="shared" si="3"/>
        <v>1</v>
      </c>
    </row>
    <row r="103" spans="1:9" x14ac:dyDescent="0.35">
      <c r="A103" t="s">
        <v>445</v>
      </c>
      <c r="B103" t="s">
        <v>451</v>
      </c>
      <c r="C103" t="s">
        <v>452</v>
      </c>
      <c r="D103" t="s">
        <v>453</v>
      </c>
      <c r="E103" t="s">
        <v>454</v>
      </c>
      <c r="F103" t="s">
        <v>455</v>
      </c>
      <c r="G103" s="4" t="s">
        <v>18</v>
      </c>
      <c r="H103" s="4" t="s">
        <v>18</v>
      </c>
      <c r="I103" s="4">
        <f t="shared" si="3"/>
        <v>1</v>
      </c>
    </row>
    <row r="104" spans="1:9" x14ac:dyDescent="0.35">
      <c r="A104" t="s">
        <v>445</v>
      </c>
      <c r="B104" t="s">
        <v>456</v>
      </c>
      <c r="C104" t="s">
        <v>457</v>
      </c>
      <c r="D104" t="s">
        <v>458</v>
      </c>
      <c r="E104" t="s">
        <v>459</v>
      </c>
      <c r="F104" t="s">
        <v>460</v>
      </c>
      <c r="G104" s="4" t="s">
        <v>18</v>
      </c>
      <c r="H104" s="4" t="s">
        <v>18</v>
      </c>
      <c r="I104" s="4">
        <f t="shared" si="3"/>
        <v>1</v>
      </c>
    </row>
    <row r="105" spans="1:9" x14ac:dyDescent="0.35">
      <c r="A105" t="s">
        <v>445</v>
      </c>
      <c r="B105" t="s">
        <v>461</v>
      </c>
      <c r="C105" t="s">
        <v>462</v>
      </c>
      <c r="D105" t="s">
        <v>463</v>
      </c>
      <c r="E105" t="s">
        <v>464</v>
      </c>
      <c r="F105" t="s">
        <v>465</v>
      </c>
      <c r="G105" s="4" t="s">
        <v>99</v>
      </c>
      <c r="H105" s="4" t="s">
        <v>99</v>
      </c>
      <c r="I105" s="4">
        <f t="shared" si="3"/>
        <v>1</v>
      </c>
    </row>
    <row r="106" spans="1:9" x14ac:dyDescent="0.35">
      <c r="A106" t="s">
        <v>445</v>
      </c>
      <c r="B106" t="s">
        <v>466</v>
      </c>
      <c r="C106" t="s">
        <v>467</v>
      </c>
      <c r="D106" t="s">
        <v>468</v>
      </c>
      <c r="E106" t="s">
        <v>469</v>
      </c>
      <c r="F106" t="s">
        <v>470</v>
      </c>
      <c r="G106" s="4" t="s">
        <v>12</v>
      </c>
      <c r="H106" s="4" t="s">
        <v>12</v>
      </c>
      <c r="I106" s="4">
        <f t="shared" si="3"/>
        <v>1</v>
      </c>
    </row>
    <row r="107" spans="1:9" x14ac:dyDescent="0.35">
      <c r="A107" t="s">
        <v>471</v>
      </c>
      <c r="B107" t="s">
        <v>472</v>
      </c>
      <c r="C107" t="s">
        <v>473</v>
      </c>
      <c r="D107" t="s">
        <v>474</v>
      </c>
      <c r="E107" t="s">
        <v>475</v>
      </c>
      <c r="F107" t="s">
        <v>476</v>
      </c>
      <c r="G107" s="4" t="s">
        <v>52</v>
      </c>
      <c r="H107" s="4" t="s">
        <v>52</v>
      </c>
      <c r="I107" s="4">
        <f t="shared" si="3"/>
        <v>1</v>
      </c>
    </row>
    <row r="108" spans="1:9" x14ac:dyDescent="0.35">
      <c r="A108" t="s">
        <v>471</v>
      </c>
      <c r="B108" t="s">
        <v>477</v>
      </c>
      <c r="C108" t="s">
        <v>478</v>
      </c>
      <c r="D108" t="s">
        <v>479</v>
      </c>
      <c r="E108" t="s">
        <v>480</v>
      </c>
      <c r="F108" t="s">
        <v>481</v>
      </c>
      <c r="G108" s="4" t="s">
        <v>12</v>
      </c>
      <c r="H108" s="4" t="s">
        <v>12</v>
      </c>
      <c r="I108" s="4">
        <f t="shared" si="3"/>
        <v>1</v>
      </c>
    </row>
    <row r="109" spans="1:9" x14ac:dyDescent="0.35">
      <c r="A109" t="s">
        <v>471</v>
      </c>
      <c r="B109" t="s">
        <v>482</v>
      </c>
      <c r="C109" t="s">
        <v>483</v>
      </c>
      <c r="D109" t="s">
        <v>484</v>
      </c>
      <c r="E109" t="s">
        <v>485</v>
      </c>
      <c r="F109" t="s">
        <v>486</v>
      </c>
      <c r="G109" s="4" t="s">
        <v>12</v>
      </c>
      <c r="H109" s="4" t="s">
        <v>12</v>
      </c>
      <c r="I109" s="4">
        <f t="shared" si="3"/>
        <v>1</v>
      </c>
    </row>
    <row r="110" spans="1:9" x14ac:dyDescent="0.35">
      <c r="A110" t="s">
        <v>471</v>
      </c>
      <c r="B110" t="s">
        <v>487</v>
      </c>
      <c r="C110" t="s">
        <v>488</v>
      </c>
      <c r="D110" t="s">
        <v>489</v>
      </c>
      <c r="E110" t="s">
        <v>490</v>
      </c>
      <c r="F110" t="s">
        <v>491</v>
      </c>
      <c r="G110" s="4" t="s">
        <v>99</v>
      </c>
      <c r="H110" s="4" t="s">
        <v>99</v>
      </c>
      <c r="I110" s="4">
        <f t="shared" si="3"/>
        <v>1</v>
      </c>
    </row>
    <row r="111" spans="1:9" x14ac:dyDescent="0.35">
      <c r="A111" t="s">
        <v>471</v>
      </c>
      <c r="B111" t="s">
        <v>492</v>
      </c>
      <c r="C111" t="s">
        <v>493</v>
      </c>
      <c r="D111" t="s">
        <v>494</v>
      </c>
      <c r="E111" t="s">
        <v>488</v>
      </c>
      <c r="F111" t="s">
        <v>495</v>
      </c>
      <c r="G111" s="4" t="s">
        <v>18</v>
      </c>
      <c r="H111" s="4" t="s">
        <v>18</v>
      </c>
      <c r="I111" s="4">
        <f t="shared" si="3"/>
        <v>1</v>
      </c>
    </row>
    <row r="112" spans="1:9" x14ac:dyDescent="0.35">
      <c r="A112" t="s">
        <v>496</v>
      </c>
      <c r="B112" t="s">
        <v>497</v>
      </c>
      <c r="C112" t="s">
        <v>498</v>
      </c>
      <c r="D112" t="s">
        <v>499</v>
      </c>
      <c r="E112" t="s">
        <v>500</v>
      </c>
      <c r="F112" t="s">
        <v>327</v>
      </c>
      <c r="G112" s="4" t="s">
        <v>12</v>
      </c>
      <c r="H112" s="4" t="s">
        <v>12</v>
      </c>
      <c r="I112" s="4">
        <f t="shared" si="3"/>
        <v>1</v>
      </c>
    </row>
    <row r="113" spans="1:9" x14ac:dyDescent="0.35">
      <c r="A113" t="s">
        <v>496</v>
      </c>
      <c r="B113" t="s">
        <v>501</v>
      </c>
      <c r="C113" t="s">
        <v>502</v>
      </c>
      <c r="D113" t="s">
        <v>386</v>
      </c>
      <c r="E113" t="s">
        <v>503</v>
      </c>
      <c r="F113" t="s">
        <v>457</v>
      </c>
      <c r="G113" s="4" t="s">
        <v>18</v>
      </c>
      <c r="H113" s="4" t="s">
        <v>18</v>
      </c>
      <c r="I113" s="4">
        <f t="shared" si="3"/>
        <v>1</v>
      </c>
    </row>
    <row r="114" spans="1:9" x14ac:dyDescent="0.35">
      <c r="A114" t="s">
        <v>496</v>
      </c>
      <c r="B114" t="s">
        <v>504</v>
      </c>
      <c r="C114" t="s">
        <v>319</v>
      </c>
      <c r="D114" t="s">
        <v>464</v>
      </c>
      <c r="E114" t="s">
        <v>505</v>
      </c>
      <c r="F114" t="s">
        <v>465</v>
      </c>
      <c r="G114" s="4" t="s">
        <v>18</v>
      </c>
      <c r="H114" s="4" t="s">
        <v>18</v>
      </c>
      <c r="I114" s="4">
        <f t="shared" si="3"/>
        <v>1</v>
      </c>
    </row>
    <row r="115" spans="1:9" x14ac:dyDescent="0.35">
      <c r="A115" t="s">
        <v>496</v>
      </c>
      <c r="B115" t="s">
        <v>506</v>
      </c>
      <c r="C115" t="s">
        <v>507</v>
      </c>
      <c r="D115" t="s">
        <v>508</v>
      </c>
      <c r="E115" t="s">
        <v>404</v>
      </c>
      <c r="F115" t="s">
        <v>509</v>
      </c>
      <c r="G115" s="4" t="s">
        <v>99</v>
      </c>
      <c r="H115" s="4" t="s">
        <v>99</v>
      </c>
      <c r="I115" s="4">
        <f t="shared" si="3"/>
        <v>1</v>
      </c>
    </row>
    <row r="116" spans="1:9" x14ac:dyDescent="0.35">
      <c r="A116" t="s">
        <v>496</v>
      </c>
      <c r="B116" t="s">
        <v>510</v>
      </c>
      <c r="C116" t="s">
        <v>511</v>
      </c>
      <c r="D116" t="s">
        <v>512</v>
      </c>
      <c r="E116" t="s">
        <v>513</v>
      </c>
      <c r="F116" t="s">
        <v>514</v>
      </c>
      <c r="G116" s="4" t="s">
        <v>12</v>
      </c>
      <c r="H116" s="4" t="s">
        <v>12</v>
      </c>
      <c r="I116" s="4">
        <f t="shared" si="3"/>
        <v>1</v>
      </c>
    </row>
    <row r="117" spans="1:9" x14ac:dyDescent="0.35">
      <c r="A117" t="s">
        <v>515</v>
      </c>
      <c r="B117" t="s">
        <v>516</v>
      </c>
      <c r="C117" t="s">
        <v>517</v>
      </c>
      <c r="D117" t="s">
        <v>518</v>
      </c>
      <c r="E117" t="s">
        <v>519</v>
      </c>
      <c r="F117" t="s">
        <v>520</v>
      </c>
      <c r="G117" s="4" t="s">
        <v>18</v>
      </c>
      <c r="H117" s="4" t="s">
        <v>12</v>
      </c>
      <c r="I117" s="4">
        <f t="shared" si="3"/>
        <v>0</v>
      </c>
    </row>
    <row r="118" spans="1:9" x14ac:dyDescent="0.35">
      <c r="A118" t="s">
        <v>515</v>
      </c>
      <c r="B118" t="s">
        <v>521</v>
      </c>
      <c r="C118" t="s">
        <v>522</v>
      </c>
      <c r="D118" t="s">
        <v>523</v>
      </c>
      <c r="E118" t="s">
        <v>524</v>
      </c>
      <c r="F118" t="s">
        <v>525</v>
      </c>
      <c r="G118" s="4" t="s">
        <v>18</v>
      </c>
      <c r="H118" s="4" t="s">
        <v>18</v>
      </c>
      <c r="I118" s="4">
        <f t="shared" si="3"/>
        <v>1</v>
      </c>
    </row>
    <row r="119" spans="1:9" x14ac:dyDescent="0.35">
      <c r="A119" t="s">
        <v>515</v>
      </c>
      <c r="B119" t="s">
        <v>526</v>
      </c>
      <c r="C119" t="s">
        <v>159</v>
      </c>
      <c r="D119" t="s">
        <v>120</v>
      </c>
      <c r="E119" t="s">
        <v>527</v>
      </c>
      <c r="F119" t="s">
        <v>157</v>
      </c>
      <c r="G119" s="4" t="s">
        <v>12</v>
      </c>
      <c r="H119" s="4" t="s">
        <v>12</v>
      </c>
      <c r="I119" s="4">
        <f t="shared" si="3"/>
        <v>1</v>
      </c>
    </row>
    <row r="120" spans="1:9" x14ac:dyDescent="0.35">
      <c r="A120" t="s">
        <v>515</v>
      </c>
      <c r="B120" t="s">
        <v>528</v>
      </c>
      <c r="C120" t="s">
        <v>159</v>
      </c>
      <c r="D120" t="s">
        <v>529</v>
      </c>
      <c r="E120" t="s">
        <v>530</v>
      </c>
      <c r="F120" t="s">
        <v>327</v>
      </c>
      <c r="G120" s="4" t="s">
        <v>18</v>
      </c>
      <c r="H120" s="4" t="s">
        <v>18</v>
      </c>
      <c r="I120" s="4">
        <f t="shared" si="3"/>
        <v>1</v>
      </c>
    </row>
    <row r="121" spans="1:9" x14ac:dyDescent="0.35">
      <c r="A121" t="s">
        <v>515</v>
      </c>
      <c r="B121" t="s">
        <v>531</v>
      </c>
      <c r="C121" t="s">
        <v>263</v>
      </c>
      <c r="D121" t="s">
        <v>532</v>
      </c>
      <c r="E121" t="s">
        <v>533</v>
      </c>
      <c r="F121" t="s">
        <v>534</v>
      </c>
      <c r="G121" s="4" t="s">
        <v>18</v>
      </c>
      <c r="H121" s="4" t="s">
        <v>18</v>
      </c>
      <c r="I121" s="4">
        <f t="shared" si="3"/>
        <v>1</v>
      </c>
    </row>
    <row r="122" spans="1:9" x14ac:dyDescent="0.35">
      <c r="A122" t="s">
        <v>535</v>
      </c>
      <c r="B122" t="s">
        <v>536</v>
      </c>
      <c r="C122" t="s">
        <v>537</v>
      </c>
      <c r="D122" t="s">
        <v>533</v>
      </c>
      <c r="E122" t="s">
        <v>538</v>
      </c>
      <c r="F122" t="s">
        <v>539</v>
      </c>
      <c r="G122" s="4" t="s">
        <v>12</v>
      </c>
      <c r="H122" s="4" t="s">
        <v>12</v>
      </c>
      <c r="I122" s="4">
        <f t="shared" si="3"/>
        <v>1</v>
      </c>
    </row>
    <row r="123" spans="1:9" x14ac:dyDescent="0.35">
      <c r="A123" t="s">
        <v>535</v>
      </c>
      <c r="B123" t="s">
        <v>540</v>
      </c>
      <c r="C123" t="s">
        <v>538</v>
      </c>
      <c r="D123" t="s">
        <v>541</v>
      </c>
      <c r="E123" t="s">
        <v>542</v>
      </c>
      <c r="F123" t="s">
        <v>543</v>
      </c>
      <c r="G123" s="4" t="s">
        <v>99</v>
      </c>
      <c r="H123" s="4" t="s">
        <v>99</v>
      </c>
      <c r="I123" s="4">
        <f t="shared" si="3"/>
        <v>1</v>
      </c>
    </row>
    <row r="124" spans="1:9" x14ac:dyDescent="0.35">
      <c r="A124" t="s">
        <v>535</v>
      </c>
      <c r="B124" t="s">
        <v>544</v>
      </c>
      <c r="C124" t="s">
        <v>545</v>
      </c>
      <c r="D124" t="s">
        <v>538</v>
      </c>
      <c r="E124" t="s">
        <v>543</v>
      </c>
      <c r="F124" t="s">
        <v>546</v>
      </c>
      <c r="G124" s="4" t="s">
        <v>12</v>
      </c>
      <c r="H124" s="4" t="s">
        <v>12</v>
      </c>
      <c r="I124" s="4">
        <f t="shared" si="3"/>
        <v>1</v>
      </c>
    </row>
    <row r="125" spans="1:9" x14ac:dyDescent="0.35">
      <c r="A125" t="s">
        <v>535</v>
      </c>
      <c r="B125" t="s">
        <v>547</v>
      </c>
      <c r="C125" t="s">
        <v>524</v>
      </c>
      <c r="D125" t="s">
        <v>548</v>
      </c>
      <c r="E125" t="s">
        <v>549</v>
      </c>
      <c r="F125" t="s">
        <v>17</v>
      </c>
      <c r="G125" s="4" t="s">
        <v>12</v>
      </c>
      <c r="H125" s="4" t="s">
        <v>12</v>
      </c>
      <c r="I125" s="4">
        <f t="shared" si="3"/>
        <v>1</v>
      </c>
    </row>
    <row r="126" spans="1:9" x14ac:dyDescent="0.35">
      <c r="A126" t="s">
        <v>535</v>
      </c>
      <c r="B126" t="s">
        <v>550</v>
      </c>
      <c r="C126" t="s">
        <v>551</v>
      </c>
      <c r="D126" t="s">
        <v>552</v>
      </c>
      <c r="E126" t="s">
        <v>553</v>
      </c>
      <c r="F126" t="s">
        <v>67</v>
      </c>
      <c r="G126" s="4" t="s">
        <v>18</v>
      </c>
      <c r="H126" s="4" t="s">
        <v>18</v>
      </c>
      <c r="I126" s="4">
        <f t="shared" si="3"/>
        <v>1</v>
      </c>
    </row>
    <row r="127" spans="1:9" x14ac:dyDescent="0.35">
      <c r="A127" t="s">
        <v>554</v>
      </c>
      <c r="B127" t="s">
        <v>555</v>
      </c>
      <c r="C127" t="s">
        <v>302</v>
      </c>
      <c r="D127" t="s">
        <v>556</v>
      </c>
      <c r="E127" t="s">
        <v>557</v>
      </c>
      <c r="F127" t="s">
        <v>538</v>
      </c>
      <c r="G127" s="4" t="s">
        <v>12</v>
      </c>
      <c r="H127" s="4" t="s">
        <v>12</v>
      </c>
      <c r="I127" s="4">
        <f t="shared" si="3"/>
        <v>1</v>
      </c>
    </row>
    <row r="128" spans="1:9" x14ac:dyDescent="0.35">
      <c r="A128" t="s">
        <v>554</v>
      </c>
      <c r="B128" t="s">
        <v>558</v>
      </c>
      <c r="C128" t="s">
        <v>562</v>
      </c>
      <c r="D128" t="s">
        <v>559</v>
      </c>
      <c r="E128" t="s">
        <v>560</v>
      </c>
      <c r="F128" t="s">
        <v>561</v>
      </c>
      <c r="G128" s="4" t="s">
        <v>52</v>
      </c>
      <c r="H128" s="4" t="s">
        <v>12</v>
      </c>
      <c r="I128" s="4">
        <f t="shared" si="3"/>
        <v>0</v>
      </c>
    </row>
    <row r="129" spans="1:9" x14ac:dyDescent="0.35">
      <c r="A129" t="s">
        <v>554</v>
      </c>
      <c r="B129" t="s">
        <v>563</v>
      </c>
      <c r="C129" t="s">
        <v>564</v>
      </c>
      <c r="D129" t="s">
        <v>565</v>
      </c>
      <c r="E129" t="s">
        <v>566</v>
      </c>
      <c r="F129" t="s">
        <v>567</v>
      </c>
      <c r="G129" s="4" t="s">
        <v>12</v>
      </c>
      <c r="H129" s="4" t="s">
        <v>12</v>
      </c>
      <c r="I129" s="4">
        <f t="shared" si="3"/>
        <v>1</v>
      </c>
    </row>
    <row r="130" spans="1:9" x14ac:dyDescent="0.35">
      <c r="A130" t="s">
        <v>554</v>
      </c>
      <c r="B130" t="s">
        <v>568</v>
      </c>
      <c r="C130" t="s">
        <v>569</v>
      </c>
      <c r="D130" t="s">
        <v>570</v>
      </c>
      <c r="E130" t="s">
        <v>571</v>
      </c>
      <c r="F130" t="s">
        <v>572</v>
      </c>
      <c r="G130" s="4" t="s">
        <v>12</v>
      </c>
      <c r="H130" s="4" t="s">
        <v>12</v>
      </c>
      <c r="I130" s="4">
        <f t="shared" ref="I130:I161" si="4">IF(TRIM(G130)=TRIM(H130),1,0)</f>
        <v>1</v>
      </c>
    </row>
    <row r="131" spans="1:9" x14ac:dyDescent="0.35">
      <c r="A131" t="s">
        <v>554</v>
      </c>
      <c r="B131" t="s">
        <v>573</v>
      </c>
      <c r="C131" t="s">
        <v>551</v>
      </c>
      <c r="D131" t="s">
        <v>574</v>
      </c>
      <c r="E131" t="s">
        <v>575</v>
      </c>
      <c r="F131" t="s">
        <v>552</v>
      </c>
      <c r="G131" s="4" t="s">
        <v>12</v>
      </c>
      <c r="H131" s="4" t="s">
        <v>12</v>
      </c>
      <c r="I131" s="4">
        <f t="shared" si="4"/>
        <v>1</v>
      </c>
    </row>
    <row r="132" spans="1:9" x14ac:dyDescent="0.35">
      <c r="A132" t="s">
        <v>576</v>
      </c>
      <c r="B132" t="s">
        <v>577</v>
      </c>
      <c r="C132" t="s">
        <v>383</v>
      </c>
      <c r="D132" t="s">
        <v>578</v>
      </c>
      <c r="E132" t="s">
        <v>302</v>
      </c>
      <c r="F132" t="s">
        <v>557</v>
      </c>
      <c r="G132" s="4" t="s">
        <v>12</v>
      </c>
      <c r="H132" s="4" t="s">
        <v>12</v>
      </c>
      <c r="I132" s="4">
        <f t="shared" si="4"/>
        <v>1</v>
      </c>
    </row>
    <row r="133" spans="1:9" x14ac:dyDescent="0.35">
      <c r="A133" t="s">
        <v>576</v>
      </c>
      <c r="B133" t="s">
        <v>579</v>
      </c>
      <c r="C133" t="s">
        <v>580</v>
      </c>
      <c r="D133" t="s">
        <v>581</v>
      </c>
      <c r="E133" t="s">
        <v>582</v>
      </c>
      <c r="F133" t="s">
        <v>583</v>
      </c>
      <c r="G133" s="4" t="s">
        <v>12</v>
      </c>
      <c r="H133" s="4" t="s">
        <v>12</v>
      </c>
      <c r="I133" s="4">
        <f t="shared" si="4"/>
        <v>1</v>
      </c>
    </row>
    <row r="134" spans="1:9" x14ac:dyDescent="0.35">
      <c r="A134" t="s">
        <v>576</v>
      </c>
      <c r="B134" t="s">
        <v>584</v>
      </c>
      <c r="C134" t="s">
        <v>585</v>
      </c>
      <c r="D134" t="s">
        <v>586</v>
      </c>
      <c r="E134" t="s">
        <v>587</v>
      </c>
      <c r="F134" t="s">
        <v>588</v>
      </c>
      <c r="G134" s="4" t="s">
        <v>12</v>
      </c>
      <c r="H134" s="4" t="s">
        <v>12</v>
      </c>
      <c r="I134" s="4">
        <f t="shared" si="4"/>
        <v>1</v>
      </c>
    </row>
    <row r="135" spans="1:9" x14ac:dyDescent="0.35">
      <c r="A135" t="s">
        <v>576</v>
      </c>
      <c r="B135" t="s">
        <v>589</v>
      </c>
      <c r="C135" t="s">
        <v>590</v>
      </c>
      <c r="D135" t="s">
        <v>591</v>
      </c>
      <c r="E135" t="s">
        <v>592</v>
      </c>
      <c r="F135" t="s">
        <v>593</v>
      </c>
      <c r="G135" s="4" t="s">
        <v>12</v>
      </c>
      <c r="H135" s="4" t="s">
        <v>12</v>
      </c>
      <c r="I135" s="4">
        <f t="shared" si="4"/>
        <v>1</v>
      </c>
    </row>
    <row r="136" spans="1:9" x14ac:dyDescent="0.35">
      <c r="A136" t="s">
        <v>576</v>
      </c>
      <c r="B136" t="s">
        <v>594</v>
      </c>
      <c r="C136" t="s">
        <v>595</v>
      </c>
      <c r="D136" t="s">
        <v>596</v>
      </c>
      <c r="E136" t="s">
        <v>597</v>
      </c>
      <c r="F136" t="s">
        <v>598</v>
      </c>
      <c r="G136" s="4" t="s">
        <v>12</v>
      </c>
      <c r="H136" s="4" t="s">
        <v>12</v>
      </c>
      <c r="I136" s="4">
        <f t="shared" si="4"/>
        <v>1</v>
      </c>
    </row>
    <row r="137" spans="1:9" x14ac:dyDescent="0.35">
      <c r="A137" t="s">
        <v>599</v>
      </c>
      <c r="B137" t="s">
        <v>600</v>
      </c>
      <c r="C137" t="s">
        <v>302</v>
      </c>
      <c r="D137" t="s">
        <v>557</v>
      </c>
      <c r="E137" t="s">
        <v>556</v>
      </c>
      <c r="F137" t="s">
        <v>537</v>
      </c>
      <c r="G137" s="4" t="s">
        <v>12</v>
      </c>
      <c r="H137" s="4" t="s">
        <v>12</v>
      </c>
      <c r="I137" s="4">
        <f t="shared" si="4"/>
        <v>1</v>
      </c>
    </row>
    <row r="138" spans="1:9" x14ac:dyDescent="0.35">
      <c r="A138" t="s">
        <v>599</v>
      </c>
      <c r="B138" t="s">
        <v>601</v>
      </c>
      <c r="C138" t="s">
        <v>602</v>
      </c>
      <c r="D138" t="s">
        <v>524</v>
      </c>
      <c r="E138" t="s">
        <v>551</v>
      </c>
      <c r="F138" t="s">
        <v>46</v>
      </c>
      <c r="G138" s="4" t="s">
        <v>12</v>
      </c>
      <c r="H138" s="4" t="s">
        <v>12</v>
      </c>
      <c r="I138" s="4">
        <f t="shared" si="4"/>
        <v>1</v>
      </c>
    </row>
    <row r="139" spans="1:9" x14ac:dyDescent="0.35">
      <c r="A139" t="s">
        <v>599</v>
      </c>
      <c r="B139" t="s">
        <v>603</v>
      </c>
      <c r="C139" t="s">
        <v>604</v>
      </c>
      <c r="D139" t="s">
        <v>595</v>
      </c>
      <c r="E139" t="s">
        <v>437</v>
      </c>
      <c r="F139" t="s">
        <v>605</v>
      </c>
      <c r="G139" s="4" t="s">
        <v>18</v>
      </c>
      <c r="H139" s="4" t="s">
        <v>18</v>
      </c>
      <c r="I139" s="4">
        <f t="shared" si="4"/>
        <v>1</v>
      </c>
    </row>
    <row r="140" spans="1:9" x14ac:dyDescent="0.35">
      <c r="A140" t="s">
        <v>599</v>
      </c>
      <c r="B140" t="s">
        <v>606</v>
      </c>
      <c r="C140" t="s">
        <v>607</v>
      </c>
      <c r="D140" t="s">
        <v>608</v>
      </c>
      <c r="E140" t="s">
        <v>609</v>
      </c>
      <c r="F140" t="s">
        <v>610</v>
      </c>
      <c r="G140" s="4" t="s">
        <v>18</v>
      </c>
      <c r="H140" s="4" t="s">
        <v>18</v>
      </c>
      <c r="I140" s="4">
        <f t="shared" si="4"/>
        <v>1</v>
      </c>
    </row>
    <row r="141" spans="1:9" x14ac:dyDescent="0.35">
      <c r="A141" t="s">
        <v>599</v>
      </c>
      <c r="B141" t="s">
        <v>611</v>
      </c>
      <c r="C141" t="s">
        <v>612</v>
      </c>
      <c r="D141" t="s">
        <v>613</v>
      </c>
      <c r="E141" t="s">
        <v>614</v>
      </c>
      <c r="F141" t="s">
        <v>615</v>
      </c>
      <c r="G141" s="4" t="s">
        <v>12</v>
      </c>
      <c r="H141" s="4" t="s">
        <v>12</v>
      </c>
      <c r="I141" s="4">
        <f t="shared" si="4"/>
        <v>1</v>
      </c>
    </row>
    <row r="142" spans="1:9" x14ac:dyDescent="0.35">
      <c r="A142" t="s">
        <v>616</v>
      </c>
      <c r="B142" t="s">
        <v>617</v>
      </c>
      <c r="C142" t="s">
        <v>618</v>
      </c>
      <c r="D142" t="s">
        <v>437</v>
      </c>
      <c r="E142" t="s">
        <v>619</v>
      </c>
      <c r="F142" t="s">
        <v>620</v>
      </c>
      <c r="G142" s="4" t="s">
        <v>99</v>
      </c>
      <c r="H142" s="4" t="s">
        <v>99</v>
      </c>
      <c r="I142" s="4">
        <f t="shared" si="4"/>
        <v>1</v>
      </c>
    </row>
    <row r="143" spans="1:9" x14ac:dyDescent="0.35">
      <c r="A143" t="s">
        <v>616</v>
      </c>
      <c r="B143" t="s">
        <v>621</v>
      </c>
      <c r="C143" t="s">
        <v>622</v>
      </c>
      <c r="D143" t="s">
        <v>623</v>
      </c>
      <c r="E143" t="s">
        <v>624</v>
      </c>
      <c r="F143" t="s">
        <v>182</v>
      </c>
      <c r="G143" s="4" t="s">
        <v>18</v>
      </c>
      <c r="H143" s="4" t="s">
        <v>18</v>
      </c>
      <c r="I143" s="4">
        <f t="shared" si="4"/>
        <v>1</v>
      </c>
    </row>
    <row r="144" spans="1:9" x14ac:dyDescent="0.35">
      <c r="A144" t="s">
        <v>616</v>
      </c>
      <c r="B144" t="s">
        <v>625</v>
      </c>
      <c r="C144" t="s">
        <v>263</v>
      </c>
      <c r="D144" t="s">
        <v>626</v>
      </c>
      <c r="E144" t="s">
        <v>627</v>
      </c>
      <c r="F144" t="s">
        <v>628</v>
      </c>
      <c r="G144" s="4" t="s">
        <v>18</v>
      </c>
      <c r="H144" s="4" t="s">
        <v>18</v>
      </c>
      <c r="I144" s="4">
        <f t="shared" si="4"/>
        <v>1</v>
      </c>
    </row>
    <row r="145" spans="1:9" x14ac:dyDescent="0.35">
      <c r="A145" t="s">
        <v>616</v>
      </c>
      <c r="B145" t="s">
        <v>629</v>
      </c>
      <c r="C145" t="s">
        <v>630</v>
      </c>
      <c r="D145" t="s">
        <v>631</v>
      </c>
      <c r="E145" t="s">
        <v>632</v>
      </c>
      <c r="F145" t="s">
        <v>263</v>
      </c>
      <c r="G145" s="4" t="s">
        <v>12</v>
      </c>
      <c r="H145" s="4" t="s">
        <v>12</v>
      </c>
      <c r="I145" s="4">
        <f t="shared" si="4"/>
        <v>1</v>
      </c>
    </row>
    <row r="146" spans="1:9" x14ac:dyDescent="0.35">
      <c r="A146" t="s">
        <v>616</v>
      </c>
      <c r="B146" t="s">
        <v>633</v>
      </c>
      <c r="C146" t="s">
        <v>634</v>
      </c>
      <c r="D146" t="s">
        <v>635</v>
      </c>
      <c r="E146" t="s">
        <v>636</v>
      </c>
      <c r="F146" t="s">
        <v>637</v>
      </c>
      <c r="G146" s="4" t="s">
        <v>12</v>
      </c>
      <c r="H146" s="4" t="s">
        <v>12</v>
      </c>
      <c r="I146" s="4">
        <f t="shared" si="4"/>
        <v>1</v>
      </c>
    </row>
    <row r="147" spans="1:9" x14ac:dyDescent="0.35">
      <c r="A147" t="s">
        <v>638</v>
      </c>
      <c r="B147" t="s">
        <v>639</v>
      </c>
      <c r="C147" t="s">
        <v>640</v>
      </c>
      <c r="D147" t="s">
        <v>302</v>
      </c>
      <c r="E147" t="s">
        <v>537</v>
      </c>
      <c r="F147" t="s">
        <v>556</v>
      </c>
      <c r="G147" s="4" t="s">
        <v>12</v>
      </c>
      <c r="H147" s="4" t="s">
        <v>12</v>
      </c>
      <c r="I147" s="4">
        <f t="shared" si="4"/>
        <v>1</v>
      </c>
    </row>
    <row r="148" spans="1:9" x14ac:dyDescent="0.35">
      <c r="A148" t="s">
        <v>638</v>
      </c>
      <c r="B148" t="s">
        <v>641</v>
      </c>
      <c r="C148" t="s">
        <v>642</v>
      </c>
      <c r="D148" t="s">
        <v>643</v>
      </c>
      <c r="E148" t="s">
        <v>644</v>
      </c>
      <c r="F148" t="s">
        <v>645</v>
      </c>
      <c r="G148" s="4" t="s">
        <v>18</v>
      </c>
      <c r="H148" s="4" t="s">
        <v>18</v>
      </c>
      <c r="I148" s="4">
        <f t="shared" si="4"/>
        <v>1</v>
      </c>
    </row>
    <row r="149" spans="1:9" x14ac:dyDescent="0.35">
      <c r="A149" t="s">
        <v>638</v>
      </c>
      <c r="B149" t="s">
        <v>646</v>
      </c>
      <c r="C149" t="s">
        <v>569</v>
      </c>
      <c r="D149" t="s">
        <v>647</v>
      </c>
      <c r="E149" t="s">
        <v>648</v>
      </c>
      <c r="F149" t="s">
        <v>649</v>
      </c>
      <c r="G149" s="4" t="s">
        <v>12</v>
      </c>
      <c r="H149" s="4" t="s">
        <v>12</v>
      </c>
      <c r="I149" s="4">
        <f t="shared" si="4"/>
        <v>1</v>
      </c>
    </row>
    <row r="150" spans="1:9" x14ac:dyDescent="0.35">
      <c r="A150" t="s">
        <v>638</v>
      </c>
      <c r="B150" t="s">
        <v>650</v>
      </c>
      <c r="C150" t="s">
        <v>651</v>
      </c>
      <c r="D150" t="s">
        <v>551</v>
      </c>
      <c r="E150" t="s">
        <v>46</v>
      </c>
      <c r="F150" t="s">
        <v>45</v>
      </c>
      <c r="G150" s="4" t="s">
        <v>18</v>
      </c>
      <c r="H150" s="4" t="s">
        <v>18</v>
      </c>
      <c r="I150" s="4">
        <f t="shared" si="4"/>
        <v>1</v>
      </c>
    </row>
    <row r="151" spans="1:9" x14ac:dyDescent="0.35">
      <c r="A151" t="s">
        <v>638</v>
      </c>
      <c r="B151" t="s">
        <v>652</v>
      </c>
      <c r="C151" t="s">
        <v>636</v>
      </c>
      <c r="D151" t="s">
        <v>68</v>
      </c>
      <c r="E151" t="s">
        <v>653</v>
      </c>
      <c r="F151" t="s">
        <v>654</v>
      </c>
      <c r="G151" s="4" t="s">
        <v>12</v>
      </c>
      <c r="H151" s="4" t="s">
        <v>12</v>
      </c>
      <c r="I151" s="4">
        <f t="shared" si="4"/>
        <v>1</v>
      </c>
    </row>
    <row r="152" spans="1:9" x14ac:dyDescent="0.35">
      <c r="A152" t="s">
        <v>655</v>
      </c>
      <c r="B152" t="s">
        <v>656</v>
      </c>
      <c r="C152" t="s">
        <v>657</v>
      </c>
      <c r="D152" t="s">
        <v>658</v>
      </c>
      <c r="E152" t="s">
        <v>659</v>
      </c>
      <c r="F152" t="s">
        <v>660</v>
      </c>
      <c r="G152" s="4" t="s">
        <v>12</v>
      </c>
      <c r="H152" s="4" t="s">
        <v>12</v>
      </c>
      <c r="I152" s="4">
        <f t="shared" si="4"/>
        <v>1</v>
      </c>
    </row>
    <row r="153" spans="1:9" x14ac:dyDescent="0.35">
      <c r="A153" t="s">
        <v>655</v>
      </c>
      <c r="B153" t="s">
        <v>661</v>
      </c>
      <c r="C153" t="s">
        <v>662</v>
      </c>
      <c r="D153" t="s">
        <v>663</v>
      </c>
      <c r="E153" t="s">
        <v>664</v>
      </c>
      <c r="F153" t="s">
        <v>665</v>
      </c>
      <c r="G153" s="4" t="s">
        <v>12</v>
      </c>
      <c r="H153" s="4" t="s">
        <v>12</v>
      </c>
      <c r="I153" s="4">
        <f t="shared" si="4"/>
        <v>1</v>
      </c>
    </row>
    <row r="154" spans="1:9" x14ac:dyDescent="0.35">
      <c r="A154" t="s">
        <v>655</v>
      </c>
      <c r="B154" t="s">
        <v>666</v>
      </c>
      <c r="C154" t="s">
        <v>667</v>
      </c>
      <c r="D154" t="s">
        <v>668</v>
      </c>
      <c r="E154" t="s">
        <v>669</v>
      </c>
      <c r="F154" t="s">
        <v>309</v>
      </c>
      <c r="G154" s="4" t="s">
        <v>12</v>
      </c>
      <c r="H154" s="4" t="s">
        <v>12</v>
      </c>
      <c r="I154" s="4">
        <f t="shared" si="4"/>
        <v>1</v>
      </c>
    </row>
    <row r="155" spans="1:9" x14ac:dyDescent="0.35">
      <c r="A155" t="s">
        <v>655</v>
      </c>
      <c r="B155" t="s">
        <v>670</v>
      </c>
      <c r="C155" t="s">
        <v>671</v>
      </c>
      <c r="D155" t="s">
        <v>672</v>
      </c>
      <c r="E155" t="s">
        <v>673</v>
      </c>
      <c r="F155" t="s">
        <v>674</v>
      </c>
      <c r="G155" s="4" t="s">
        <v>18</v>
      </c>
      <c r="H155" s="4" t="s">
        <v>18</v>
      </c>
      <c r="I155" s="4">
        <f t="shared" si="4"/>
        <v>1</v>
      </c>
    </row>
    <row r="156" spans="1:9" x14ac:dyDescent="0.35">
      <c r="A156" t="s">
        <v>655</v>
      </c>
      <c r="B156" t="s">
        <v>675</v>
      </c>
      <c r="C156" t="s">
        <v>676</v>
      </c>
      <c r="D156" t="s">
        <v>677</v>
      </c>
      <c r="E156" t="s">
        <v>678</v>
      </c>
      <c r="F156" t="s">
        <v>679</v>
      </c>
      <c r="G156" s="4" t="s">
        <v>52</v>
      </c>
      <c r="H156" s="4" t="s">
        <v>52</v>
      </c>
      <c r="I156" s="4">
        <f t="shared" si="4"/>
        <v>1</v>
      </c>
    </row>
    <row r="157" spans="1:9" x14ac:dyDescent="0.35">
      <c r="A157" t="s">
        <v>680</v>
      </c>
      <c r="B157" t="s">
        <v>681</v>
      </c>
      <c r="C157" t="s">
        <v>682</v>
      </c>
      <c r="D157" t="s">
        <v>683</v>
      </c>
      <c r="E157" t="s">
        <v>288</v>
      </c>
      <c r="F157" t="s">
        <v>285</v>
      </c>
      <c r="G157" s="4" t="s">
        <v>12</v>
      </c>
      <c r="H157" s="4" t="s">
        <v>12</v>
      </c>
      <c r="I157" s="4">
        <f t="shared" si="4"/>
        <v>1</v>
      </c>
    </row>
    <row r="158" spans="1:9" x14ac:dyDescent="0.35">
      <c r="A158" t="s">
        <v>680</v>
      </c>
      <c r="B158" t="s">
        <v>684</v>
      </c>
      <c r="C158" t="s">
        <v>685</v>
      </c>
      <c r="D158" t="s">
        <v>686</v>
      </c>
      <c r="E158" t="s">
        <v>687</v>
      </c>
      <c r="F158" t="s">
        <v>688</v>
      </c>
      <c r="G158" s="4" t="s">
        <v>12</v>
      </c>
      <c r="H158" s="4" t="s">
        <v>12</v>
      </c>
      <c r="I158" s="4">
        <f t="shared" si="4"/>
        <v>1</v>
      </c>
    </row>
    <row r="159" spans="1:9" x14ac:dyDescent="0.35">
      <c r="A159" t="s">
        <v>680</v>
      </c>
      <c r="B159" t="s">
        <v>689</v>
      </c>
      <c r="C159" t="s">
        <v>690</v>
      </c>
      <c r="D159" t="s">
        <v>691</v>
      </c>
      <c r="E159" t="s">
        <v>692</v>
      </c>
      <c r="F159" t="s">
        <v>693</v>
      </c>
      <c r="G159" s="4" t="s">
        <v>18</v>
      </c>
      <c r="H159" s="4" t="s">
        <v>18</v>
      </c>
      <c r="I159" s="4">
        <f t="shared" si="4"/>
        <v>1</v>
      </c>
    </row>
    <row r="160" spans="1:9" x14ac:dyDescent="0.35">
      <c r="A160" t="s">
        <v>680</v>
      </c>
      <c r="B160" t="s">
        <v>694</v>
      </c>
      <c r="C160" t="s">
        <v>288</v>
      </c>
      <c r="D160" t="s">
        <v>682</v>
      </c>
      <c r="E160" t="s">
        <v>683</v>
      </c>
      <c r="F160" t="s">
        <v>695</v>
      </c>
      <c r="G160" s="4" t="s">
        <v>12</v>
      </c>
      <c r="H160" s="4" t="s">
        <v>12</v>
      </c>
      <c r="I160" s="4">
        <f t="shared" si="4"/>
        <v>1</v>
      </c>
    </row>
    <row r="161" spans="1:9" x14ac:dyDescent="0.35">
      <c r="A161" t="s">
        <v>680</v>
      </c>
      <c r="B161" t="s">
        <v>696</v>
      </c>
      <c r="C161" t="s">
        <v>697</v>
      </c>
      <c r="D161" t="s">
        <v>698</v>
      </c>
      <c r="E161" t="s">
        <v>699</v>
      </c>
      <c r="F161" t="s">
        <v>700</v>
      </c>
      <c r="G161" s="4" t="s">
        <v>18</v>
      </c>
      <c r="H161" s="4" t="s">
        <v>18</v>
      </c>
      <c r="I161" s="4">
        <f t="shared" si="4"/>
        <v>1</v>
      </c>
    </row>
    <row r="162" spans="1:9" x14ac:dyDescent="0.35">
      <c r="A162" t="s">
        <v>701</v>
      </c>
      <c r="B162" t="s">
        <v>702</v>
      </c>
      <c r="C162" t="s">
        <v>317</v>
      </c>
      <c r="D162" t="s">
        <v>9</v>
      </c>
      <c r="E162" t="s">
        <v>32</v>
      </c>
      <c r="F162" t="s">
        <v>30</v>
      </c>
      <c r="G162" s="4" t="s">
        <v>18</v>
      </c>
      <c r="H162" s="4" t="s">
        <v>18</v>
      </c>
      <c r="I162" s="4">
        <f t="shared" ref="I162:I193" si="5">IF(TRIM(G162)=TRIM(H162),1,0)</f>
        <v>1</v>
      </c>
    </row>
    <row r="163" spans="1:9" x14ac:dyDescent="0.35">
      <c r="A163" t="s">
        <v>701</v>
      </c>
      <c r="B163" t="s">
        <v>703</v>
      </c>
      <c r="C163" t="s">
        <v>704</v>
      </c>
      <c r="D163" t="s">
        <v>705</v>
      </c>
      <c r="E163" t="s">
        <v>706</v>
      </c>
      <c r="F163" t="s">
        <v>707</v>
      </c>
      <c r="G163" s="4" t="s">
        <v>12</v>
      </c>
      <c r="H163" s="4" t="s">
        <v>12</v>
      </c>
      <c r="I163" s="4">
        <f t="shared" si="5"/>
        <v>1</v>
      </c>
    </row>
    <row r="164" spans="1:9" x14ac:dyDescent="0.35">
      <c r="A164" t="s">
        <v>701</v>
      </c>
      <c r="B164" t="s">
        <v>708</v>
      </c>
      <c r="C164" t="s">
        <v>709</v>
      </c>
      <c r="D164" t="s">
        <v>710</v>
      </c>
      <c r="E164" t="s">
        <v>711</v>
      </c>
      <c r="F164" t="s">
        <v>712</v>
      </c>
      <c r="G164" s="4" t="s">
        <v>18</v>
      </c>
      <c r="H164" s="4" t="s">
        <v>18</v>
      </c>
      <c r="I164" s="4">
        <f t="shared" si="5"/>
        <v>1</v>
      </c>
    </row>
    <row r="165" spans="1:9" x14ac:dyDescent="0.35">
      <c r="A165" t="s">
        <v>701</v>
      </c>
      <c r="B165" t="s">
        <v>713</v>
      </c>
      <c r="C165" t="s">
        <v>32</v>
      </c>
      <c r="D165" t="s">
        <v>9</v>
      </c>
      <c r="E165" t="s">
        <v>714</v>
      </c>
      <c r="F165" t="s">
        <v>715</v>
      </c>
      <c r="G165" s="4" t="s">
        <v>18</v>
      </c>
      <c r="H165" s="4" t="s">
        <v>18</v>
      </c>
      <c r="I165" s="4">
        <f t="shared" si="5"/>
        <v>1</v>
      </c>
    </row>
    <row r="166" spans="1:9" x14ac:dyDescent="0.35">
      <c r="A166" t="s">
        <v>701</v>
      </c>
      <c r="B166" t="s">
        <v>716</v>
      </c>
      <c r="C166" t="s">
        <v>717</v>
      </c>
      <c r="D166" t="s">
        <v>718</v>
      </c>
      <c r="E166" t="s">
        <v>719</v>
      </c>
      <c r="F166" t="s">
        <v>720</v>
      </c>
      <c r="G166" s="4" t="s">
        <v>12</v>
      </c>
      <c r="H166" s="4" t="s">
        <v>12</v>
      </c>
      <c r="I166" s="4">
        <f t="shared" si="5"/>
        <v>1</v>
      </c>
    </row>
    <row r="167" spans="1:9" x14ac:dyDescent="0.35">
      <c r="A167" t="s">
        <v>298</v>
      </c>
      <c r="B167" t="s">
        <v>721</v>
      </c>
      <c r="C167" t="s">
        <v>722</v>
      </c>
      <c r="D167" t="s">
        <v>40</v>
      </c>
      <c r="E167" t="s">
        <v>78</v>
      </c>
      <c r="F167" t="s">
        <v>723</v>
      </c>
      <c r="G167" s="4" t="s">
        <v>18</v>
      </c>
      <c r="H167" s="4" t="s">
        <v>18</v>
      </c>
      <c r="I167" s="4">
        <f t="shared" si="5"/>
        <v>1</v>
      </c>
    </row>
    <row r="168" spans="1:9" x14ac:dyDescent="0.35">
      <c r="A168" t="s">
        <v>298</v>
      </c>
      <c r="B168" t="s">
        <v>724</v>
      </c>
      <c r="C168" t="s">
        <v>319</v>
      </c>
      <c r="D168" t="s">
        <v>725</v>
      </c>
      <c r="E168" t="s">
        <v>229</v>
      </c>
      <c r="F168" t="s">
        <v>726</v>
      </c>
      <c r="G168" s="4" t="s">
        <v>18</v>
      </c>
      <c r="H168" s="4" t="s">
        <v>18</v>
      </c>
      <c r="I168" s="4">
        <f t="shared" si="5"/>
        <v>1</v>
      </c>
    </row>
    <row r="169" spans="1:9" x14ac:dyDescent="0.35">
      <c r="A169" t="s">
        <v>298</v>
      </c>
      <c r="B169" t="s">
        <v>727</v>
      </c>
      <c r="C169" t="s">
        <v>728</v>
      </c>
      <c r="D169" t="s">
        <v>45</v>
      </c>
      <c r="E169" t="s">
        <v>47</v>
      </c>
      <c r="F169" t="s">
        <v>113</v>
      </c>
      <c r="G169" s="4" t="s">
        <v>12</v>
      </c>
      <c r="H169" s="4" t="s">
        <v>12</v>
      </c>
      <c r="I169" s="4">
        <f t="shared" si="5"/>
        <v>1</v>
      </c>
    </row>
    <row r="170" spans="1:9" x14ac:dyDescent="0.35">
      <c r="A170" t="s">
        <v>298</v>
      </c>
      <c r="B170" t="s">
        <v>729</v>
      </c>
      <c r="C170" t="s">
        <v>730</v>
      </c>
      <c r="D170" t="s">
        <v>731</v>
      </c>
      <c r="E170" t="s">
        <v>59</v>
      </c>
      <c r="F170" t="s">
        <v>732</v>
      </c>
      <c r="G170" s="4" t="s">
        <v>18</v>
      </c>
      <c r="H170" s="4" t="s">
        <v>18</v>
      </c>
      <c r="I170" s="4">
        <f t="shared" si="5"/>
        <v>1</v>
      </c>
    </row>
    <row r="171" spans="1:9" x14ac:dyDescent="0.35">
      <c r="A171" t="s">
        <v>298</v>
      </c>
      <c r="B171" t="s">
        <v>733</v>
      </c>
      <c r="C171" t="s">
        <v>734</v>
      </c>
      <c r="D171" t="s">
        <v>735</v>
      </c>
      <c r="E171" t="s">
        <v>736</v>
      </c>
      <c r="F171" t="s">
        <v>737</v>
      </c>
      <c r="G171" s="4" t="s">
        <v>18</v>
      </c>
      <c r="H171" s="4" t="s">
        <v>18</v>
      </c>
      <c r="I171" s="4">
        <f t="shared" si="5"/>
        <v>1</v>
      </c>
    </row>
    <row r="172" spans="1:9" x14ac:dyDescent="0.35">
      <c r="A172" t="s">
        <v>738</v>
      </c>
      <c r="B172" t="s">
        <v>739</v>
      </c>
      <c r="C172" t="s">
        <v>740</v>
      </c>
      <c r="D172" t="s">
        <v>741</v>
      </c>
      <c r="E172" t="s">
        <v>742</v>
      </c>
      <c r="F172" t="s">
        <v>11</v>
      </c>
      <c r="G172" s="4" t="s">
        <v>12</v>
      </c>
      <c r="H172" s="4" t="s">
        <v>12</v>
      </c>
      <c r="I172" s="4">
        <f t="shared" si="5"/>
        <v>1</v>
      </c>
    </row>
    <row r="173" spans="1:9" x14ac:dyDescent="0.35">
      <c r="A173" t="s">
        <v>738</v>
      </c>
      <c r="B173" t="s">
        <v>743</v>
      </c>
      <c r="C173" t="s">
        <v>744</v>
      </c>
      <c r="D173" t="s">
        <v>745</v>
      </c>
      <c r="E173" t="s">
        <v>746</v>
      </c>
      <c r="F173" t="s">
        <v>747</v>
      </c>
      <c r="G173" s="4" t="s">
        <v>18</v>
      </c>
      <c r="H173" s="4" t="s">
        <v>18</v>
      </c>
      <c r="I173" s="4">
        <f t="shared" si="5"/>
        <v>1</v>
      </c>
    </row>
    <row r="174" spans="1:9" x14ac:dyDescent="0.35">
      <c r="A174" t="s">
        <v>738</v>
      </c>
      <c r="B174" t="s">
        <v>748</v>
      </c>
      <c r="C174" t="s">
        <v>749</v>
      </c>
      <c r="D174" t="s">
        <v>750</v>
      </c>
      <c r="E174" t="s">
        <v>751</v>
      </c>
      <c r="F174" t="s">
        <v>752</v>
      </c>
      <c r="G174" s="4" t="s">
        <v>18</v>
      </c>
      <c r="H174" s="4" t="s">
        <v>18</v>
      </c>
      <c r="I174" s="4">
        <f t="shared" si="5"/>
        <v>1</v>
      </c>
    </row>
    <row r="175" spans="1:9" x14ac:dyDescent="0.35">
      <c r="A175" t="s">
        <v>738</v>
      </c>
      <c r="B175" t="s">
        <v>753</v>
      </c>
      <c r="C175" t="s">
        <v>201</v>
      </c>
      <c r="D175" t="s">
        <v>754</v>
      </c>
      <c r="E175" t="s">
        <v>755</v>
      </c>
      <c r="F175" t="s">
        <v>608</v>
      </c>
      <c r="G175" s="4" t="s">
        <v>18</v>
      </c>
      <c r="H175" s="4" t="s">
        <v>18</v>
      </c>
      <c r="I175" s="4">
        <f t="shared" si="5"/>
        <v>1</v>
      </c>
    </row>
    <row r="176" spans="1:9" x14ac:dyDescent="0.35">
      <c r="A176" t="s">
        <v>738</v>
      </c>
      <c r="B176" t="s">
        <v>756</v>
      </c>
      <c r="C176" t="s">
        <v>671</v>
      </c>
      <c r="D176" t="s">
        <v>46</v>
      </c>
      <c r="E176" t="s">
        <v>757</v>
      </c>
      <c r="F176" t="s">
        <v>758</v>
      </c>
      <c r="G176" s="4" t="s">
        <v>12</v>
      </c>
      <c r="H176" s="4" t="s">
        <v>12</v>
      </c>
      <c r="I176" s="4">
        <f t="shared" si="5"/>
        <v>1</v>
      </c>
    </row>
    <row r="177" spans="1:9" x14ac:dyDescent="0.35">
      <c r="A177" t="s">
        <v>759</v>
      </c>
      <c r="B177" t="s">
        <v>760</v>
      </c>
      <c r="C177" t="s">
        <v>761</v>
      </c>
      <c r="D177" t="s">
        <v>762</v>
      </c>
      <c r="E177" t="s">
        <v>763</v>
      </c>
      <c r="F177" t="s">
        <v>538</v>
      </c>
      <c r="G177" s="4" t="s">
        <v>12</v>
      </c>
      <c r="H177" s="4" t="s">
        <v>12</v>
      </c>
      <c r="I177" s="4">
        <f t="shared" si="5"/>
        <v>1</v>
      </c>
    </row>
    <row r="178" spans="1:9" x14ac:dyDescent="0.35">
      <c r="A178" t="s">
        <v>759</v>
      </c>
      <c r="B178" t="s">
        <v>764</v>
      </c>
      <c r="C178" t="s">
        <v>332</v>
      </c>
      <c r="D178" t="s">
        <v>765</v>
      </c>
      <c r="E178" t="s">
        <v>766</v>
      </c>
      <c r="F178" t="s">
        <v>767</v>
      </c>
      <c r="G178" s="4" t="s">
        <v>18</v>
      </c>
      <c r="H178" s="4" t="s">
        <v>18</v>
      </c>
      <c r="I178" s="4">
        <f t="shared" si="5"/>
        <v>1</v>
      </c>
    </row>
    <row r="179" spans="1:9" x14ac:dyDescent="0.35">
      <c r="A179" t="s">
        <v>759</v>
      </c>
      <c r="B179" t="s">
        <v>768</v>
      </c>
      <c r="C179" t="s">
        <v>157</v>
      </c>
      <c r="D179" t="s">
        <v>769</v>
      </c>
      <c r="E179" t="s">
        <v>158</v>
      </c>
      <c r="F179" t="s">
        <v>159</v>
      </c>
      <c r="G179" s="4" t="s">
        <v>18</v>
      </c>
      <c r="H179" s="4" t="s">
        <v>18</v>
      </c>
      <c r="I179" s="4">
        <f t="shared" si="5"/>
        <v>1</v>
      </c>
    </row>
    <row r="180" spans="1:9" x14ac:dyDescent="0.35">
      <c r="A180" t="s">
        <v>759</v>
      </c>
      <c r="B180" t="s">
        <v>770</v>
      </c>
      <c r="C180" t="s">
        <v>404</v>
      </c>
      <c r="D180" t="s">
        <v>771</v>
      </c>
      <c r="E180" t="s">
        <v>308</v>
      </c>
      <c r="F180" t="s">
        <v>772</v>
      </c>
      <c r="G180" s="4" t="s">
        <v>18</v>
      </c>
      <c r="H180" s="4" t="s">
        <v>18</v>
      </c>
      <c r="I180" s="4">
        <f t="shared" si="5"/>
        <v>1</v>
      </c>
    </row>
    <row r="181" spans="1:9" x14ac:dyDescent="0.35">
      <c r="A181" t="s">
        <v>759</v>
      </c>
      <c r="B181" t="s">
        <v>773</v>
      </c>
      <c r="C181" t="s">
        <v>774</v>
      </c>
      <c r="D181" t="s">
        <v>537</v>
      </c>
      <c r="E181" t="s">
        <v>775</v>
      </c>
      <c r="F181" t="s">
        <v>776</v>
      </c>
      <c r="G181" s="4" t="s">
        <v>12</v>
      </c>
      <c r="H181" s="4" t="s">
        <v>12</v>
      </c>
      <c r="I181" s="4">
        <f t="shared" si="5"/>
        <v>1</v>
      </c>
    </row>
    <row r="182" spans="1:9" x14ac:dyDescent="0.35">
      <c r="A182" t="s">
        <v>777</v>
      </c>
      <c r="B182" t="s">
        <v>778</v>
      </c>
      <c r="C182" t="s">
        <v>219</v>
      </c>
      <c r="D182" t="s">
        <v>194</v>
      </c>
      <c r="E182" t="s">
        <v>217</v>
      </c>
      <c r="F182" t="s">
        <v>43</v>
      </c>
      <c r="G182" s="4" t="s">
        <v>12</v>
      </c>
      <c r="H182" s="4" t="s">
        <v>12</v>
      </c>
      <c r="I182" s="4">
        <f t="shared" si="5"/>
        <v>1</v>
      </c>
    </row>
    <row r="183" spans="1:9" x14ac:dyDescent="0.35">
      <c r="A183" t="s">
        <v>777</v>
      </c>
      <c r="B183" t="s">
        <v>779</v>
      </c>
      <c r="C183" t="s">
        <v>177</v>
      </c>
      <c r="D183" t="s">
        <v>780</v>
      </c>
      <c r="E183" t="s">
        <v>781</v>
      </c>
      <c r="F183" t="s">
        <v>222</v>
      </c>
      <c r="G183" s="4" t="s">
        <v>18</v>
      </c>
      <c r="H183" s="4" t="s">
        <v>18</v>
      </c>
      <c r="I183" s="4">
        <f t="shared" si="5"/>
        <v>1</v>
      </c>
    </row>
    <row r="184" spans="1:9" x14ac:dyDescent="0.35">
      <c r="A184" t="s">
        <v>777</v>
      </c>
      <c r="B184" t="s">
        <v>782</v>
      </c>
      <c r="C184" t="s">
        <v>783</v>
      </c>
      <c r="D184" t="s">
        <v>784</v>
      </c>
      <c r="E184" t="s">
        <v>311</v>
      </c>
      <c r="F184" t="s">
        <v>785</v>
      </c>
      <c r="G184" s="4" t="s">
        <v>18</v>
      </c>
      <c r="H184" s="4" t="s">
        <v>18</v>
      </c>
      <c r="I184" s="4">
        <f t="shared" si="5"/>
        <v>1</v>
      </c>
    </row>
    <row r="185" spans="1:9" x14ac:dyDescent="0.35">
      <c r="A185" t="s">
        <v>777</v>
      </c>
      <c r="B185" t="s">
        <v>786</v>
      </c>
      <c r="C185" t="s">
        <v>787</v>
      </c>
      <c r="D185" t="s">
        <v>788</v>
      </c>
      <c r="E185" t="s">
        <v>789</v>
      </c>
      <c r="F185" t="s">
        <v>790</v>
      </c>
      <c r="G185" s="4" t="s">
        <v>12</v>
      </c>
      <c r="H185" s="4" t="s">
        <v>12</v>
      </c>
      <c r="I185" s="4">
        <f t="shared" si="5"/>
        <v>1</v>
      </c>
    </row>
    <row r="186" spans="1:9" x14ac:dyDescent="0.35">
      <c r="A186" t="s">
        <v>777</v>
      </c>
      <c r="B186" t="s">
        <v>791</v>
      </c>
      <c r="C186" t="s">
        <v>792</v>
      </c>
      <c r="D186" t="s">
        <v>793</v>
      </c>
      <c r="E186" t="s">
        <v>178</v>
      </c>
      <c r="F186" t="s">
        <v>179</v>
      </c>
      <c r="G186" s="4" t="s">
        <v>12</v>
      </c>
      <c r="H186" s="4" t="s">
        <v>12</v>
      </c>
      <c r="I186" s="4">
        <f t="shared" si="5"/>
        <v>1</v>
      </c>
    </row>
    <row r="187" spans="1:9" x14ac:dyDescent="0.35">
      <c r="A187" t="s">
        <v>794</v>
      </c>
      <c r="B187" t="s">
        <v>795</v>
      </c>
      <c r="C187" t="s">
        <v>796</v>
      </c>
      <c r="D187" t="s">
        <v>327</v>
      </c>
      <c r="E187" t="s">
        <v>797</v>
      </c>
      <c r="F187" t="s">
        <v>798</v>
      </c>
      <c r="G187" s="4" t="s">
        <v>12</v>
      </c>
      <c r="H187" s="4" t="s">
        <v>12</v>
      </c>
      <c r="I187" s="4">
        <f t="shared" si="5"/>
        <v>1</v>
      </c>
    </row>
    <row r="188" spans="1:9" x14ac:dyDescent="0.35">
      <c r="A188" t="s">
        <v>794</v>
      </c>
      <c r="B188" t="s">
        <v>799</v>
      </c>
      <c r="C188" t="s">
        <v>319</v>
      </c>
      <c r="D188" t="s">
        <v>404</v>
      </c>
      <c r="E188" t="s">
        <v>413</v>
      </c>
      <c r="F188" t="s">
        <v>412</v>
      </c>
      <c r="G188" s="4" t="s">
        <v>12</v>
      </c>
      <c r="H188" s="4" t="s">
        <v>12</v>
      </c>
      <c r="I188" s="4">
        <f t="shared" si="5"/>
        <v>1</v>
      </c>
    </row>
    <row r="189" spans="1:9" x14ac:dyDescent="0.35">
      <c r="A189" t="s">
        <v>794</v>
      </c>
      <c r="B189" t="s">
        <v>800</v>
      </c>
      <c r="C189" t="s">
        <v>801</v>
      </c>
      <c r="D189" t="s">
        <v>802</v>
      </c>
      <c r="E189" t="s">
        <v>803</v>
      </c>
      <c r="F189" t="s">
        <v>804</v>
      </c>
      <c r="G189" s="4" t="s">
        <v>99</v>
      </c>
      <c r="H189" s="4" t="s">
        <v>99</v>
      </c>
      <c r="I189" s="4">
        <f t="shared" si="5"/>
        <v>1</v>
      </c>
    </row>
    <row r="190" spans="1:9" x14ac:dyDescent="0.35">
      <c r="A190" t="s">
        <v>794</v>
      </c>
      <c r="B190" t="s">
        <v>805</v>
      </c>
      <c r="C190" t="s">
        <v>806</v>
      </c>
      <c r="D190" t="s">
        <v>807</v>
      </c>
      <c r="E190" t="s">
        <v>808</v>
      </c>
      <c r="F190" t="s">
        <v>809</v>
      </c>
      <c r="G190" s="4" t="s">
        <v>18</v>
      </c>
      <c r="H190" s="4" t="s">
        <v>18</v>
      </c>
      <c r="I190" s="4">
        <f t="shared" si="5"/>
        <v>1</v>
      </c>
    </row>
    <row r="191" spans="1:9" x14ac:dyDescent="0.35">
      <c r="A191" t="s">
        <v>794</v>
      </c>
      <c r="B191" t="s">
        <v>810</v>
      </c>
      <c r="C191" t="s">
        <v>811</v>
      </c>
      <c r="D191" t="s">
        <v>812</v>
      </c>
      <c r="E191" t="s">
        <v>813</v>
      </c>
      <c r="F191" t="s">
        <v>814</v>
      </c>
      <c r="G191" s="4" t="s">
        <v>18</v>
      </c>
      <c r="H191" s="4" t="s">
        <v>18</v>
      </c>
      <c r="I191" s="4">
        <f t="shared" si="5"/>
        <v>1</v>
      </c>
    </row>
    <row r="192" spans="1:9" x14ac:dyDescent="0.35">
      <c r="A192" t="s">
        <v>815</v>
      </c>
      <c r="B192" t="s">
        <v>816</v>
      </c>
      <c r="C192" t="s">
        <v>817</v>
      </c>
      <c r="D192" t="s">
        <v>818</v>
      </c>
      <c r="E192" t="s">
        <v>819</v>
      </c>
      <c r="F192" t="s">
        <v>820</v>
      </c>
      <c r="G192" s="4" t="s">
        <v>18</v>
      </c>
      <c r="H192" s="4" t="s">
        <v>18</v>
      </c>
      <c r="I192" s="4">
        <f t="shared" si="5"/>
        <v>1</v>
      </c>
    </row>
    <row r="193" spans="1:9" x14ac:dyDescent="0.35">
      <c r="A193" t="s">
        <v>815</v>
      </c>
      <c r="B193" t="s">
        <v>821</v>
      </c>
      <c r="C193" t="s">
        <v>822</v>
      </c>
      <c r="D193" t="s">
        <v>823</v>
      </c>
      <c r="E193" t="s">
        <v>824</v>
      </c>
      <c r="F193" t="s">
        <v>825</v>
      </c>
      <c r="G193" s="4" t="s">
        <v>18</v>
      </c>
      <c r="H193" s="4" t="s">
        <v>18</v>
      </c>
      <c r="I193" s="4">
        <f t="shared" si="5"/>
        <v>1</v>
      </c>
    </row>
    <row r="194" spans="1:9" x14ac:dyDescent="0.35">
      <c r="A194" t="s">
        <v>815</v>
      </c>
      <c r="B194" t="s">
        <v>826</v>
      </c>
      <c r="C194" t="s">
        <v>827</v>
      </c>
      <c r="D194" t="s">
        <v>828</v>
      </c>
      <c r="E194" t="s">
        <v>829</v>
      </c>
      <c r="F194" t="s">
        <v>572</v>
      </c>
      <c r="G194" s="4" t="s">
        <v>12</v>
      </c>
      <c r="H194" s="4" t="s">
        <v>12</v>
      </c>
      <c r="I194" s="4">
        <f t="shared" ref="I194:I225" si="6">IF(TRIM(G194)=TRIM(H194),1,0)</f>
        <v>1</v>
      </c>
    </row>
    <row r="195" spans="1:9" x14ac:dyDescent="0.35">
      <c r="A195" t="s">
        <v>815</v>
      </c>
      <c r="B195" t="s">
        <v>830</v>
      </c>
      <c r="C195" t="s">
        <v>549</v>
      </c>
      <c r="D195" t="s">
        <v>831</v>
      </c>
      <c r="E195" t="s">
        <v>772</v>
      </c>
      <c r="F195" t="s">
        <v>309</v>
      </c>
      <c r="G195" s="4" t="s">
        <v>12</v>
      </c>
      <c r="H195" s="4" t="s">
        <v>12</v>
      </c>
      <c r="I195" s="4">
        <f t="shared" si="6"/>
        <v>1</v>
      </c>
    </row>
    <row r="196" spans="1:9" x14ac:dyDescent="0.35">
      <c r="A196" t="s">
        <v>815</v>
      </c>
      <c r="B196" t="s">
        <v>832</v>
      </c>
      <c r="C196" t="s">
        <v>833</v>
      </c>
      <c r="D196" t="s">
        <v>834</v>
      </c>
      <c r="E196" t="s">
        <v>835</v>
      </c>
      <c r="F196" t="s">
        <v>551</v>
      </c>
      <c r="G196" s="4" t="s">
        <v>18</v>
      </c>
      <c r="H196" s="4" t="s">
        <v>18</v>
      </c>
      <c r="I196" s="4">
        <f t="shared" si="6"/>
        <v>1</v>
      </c>
    </row>
    <row r="197" spans="1:9" x14ac:dyDescent="0.35">
      <c r="A197" t="s">
        <v>836</v>
      </c>
      <c r="B197" t="s">
        <v>837</v>
      </c>
      <c r="C197" t="s">
        <v>264</v>
      </c>
      <c r="D197" t="s">
        <v>151</v>
      </c>
      <c r="E197" t="s">
        <v>838</v>
      </c>
      <c r="F197" t="s">
        <v>317</v>
      </c>
      <c r="G197" s="4" t="s">
        <v>12</v>
      </c>
      <c r="H197" s="4" t="s">
        <v>12</v>
      </c>
      <c r="I197" s="4">
        <f t="shared" si="6"/>
        <v>1</v>
      </c>
    </row>
    <row r="198" spans="1:9" x14ac:dyDescent="0.35">
      <c r="A198" t="s">
        <v>836</v>
      </c>
      <c r="B198" t="s">
        <v>839</v>
      </c>
      <c r="C198" t="s">
        <v>327</v>
      </c>
      <c r="D198" t="s">
        <v>500</v>
      </c>
      <c r="E198" t="s">
        <v>840</v>
      </c>
      <c r="F198" t="s">
        <v>841</v>
      </c>
      <c r="G198" s="4" t="s">
        <v>12</v>
      </c>
      <c r="H198" s="4" t="s">
        <v>12</v>
      </c>
      <c r="I198" s="4">
        <f t="shared" si="6"/>
        <v>1</v>
      </c>
    </row>
    <row r="199" spans="1:9" x14ac:dyDescent="0.35">
      <c r="A199" t="s">
        <v>836</v>
      </c>
      <c r="B199" t="s">
        <v>842</v>
      </c>
      <c r="C199" t="s">
        <v>493</v>
      </c>
      <c r="D199" t="s">
        <v>843</v>
      </c>
      <c r="E199" t="s">
        <v>413</v>
      </c>
      <c r="F199" t="s">
        <v>412</v>
      </c>
      <c r="G199" s="4" t="s">
        <v>18</v>
      </c>
      <c r="H199" s="4" t="s">
        <v>18</v>
      </c>
      <c r="I199" s="4">
        <f t="shared" si="6"/>
        <v>1</v>
      </c>
    </row>
    <row r="200" spans="1:9" x14ac:dyDescent="0.35">
      <c r="A200" t="s">
        <v>836</v>
      </c>
      <c r="B200" t="s">
        <v>844</v>
      </c>
      <c r="C200" t="s">
        <v>590</v>
      </c>
      <c r="D200" t="s">
        <v>845</v>
      </c>
      <c r="E200" t="s">
        <v>831</v>
      </c>
      <c r="F200" t="s">
        <v>404</v>
      </c>
      <c r="G200" s="4" t="s">
        <v>18</v>
      </c>
      <c r="H200" s="4" t="s">
        <v>18</v>
      </c>
      <c r="I200" s="4">
        <f t="shared" si="6"/>
        <v>1</v>
      </c>
    </row>
    <row r="201" spans="1:9" x14ac:dyDescent="0.35">
      <c r="A201" t="s">
        <v>836</v>
      </c>
      <c r="B201" t="s">
        <v>846</v>
      </c>
      <c r="C201" t="s">
        <v>847</v>
      </c>
      <c r="D201" t="s">
        <v>848</v>
      </c>
      <c r="E201" t="s">
        <v>849</v>
      </c>
      <c r="F201" t="s">
        <v>219</v>
      </c>
      <c r="G201" s="4" t="s">
        <v>12</v>
      </c>
      <c r="H201" s="4" t="s">
        <v>12</v>
      </c>
      <c r="I201" s="4">
        <f t="shared" si="6"/>
        <v>1</v>
      </c>
    </row>
    <row r="202" spans="1:9" x14ac:dyDescent="0.35">
      <c r="I202" s="4">
        <f>SUM(Table1[chatgpt])</f>
        <v>193</v>
      </c>
    </row>
    <row r="203" spans="1:9" x14ac:dyDescent="0.35">
      <c r="H203" t="s">
        <v>853</v>
      </c>
      <c r="I203" s="4">
        <f>Table1[[#Totals],[chatgpt]]/200 * 100</f>
        <v>96.5</v>
      </c>
    </row>
    <row r="204" spans="1:9" x14ac:dyDescent="0.35">
      <c r="H204" s="4" t="s">
        <v>854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Saeed Alqahtani</cp:lastModifiedBy>
  <dcterms:created xsi:type="dcterms:W3CDTF">2025-12-17T23:31:32Z</dcterms:created>
  <dcterms:modified xsi:type="dcterms:W3CDTF">2026-01-26T22:46:05Z</dcterms:modified>
</cp:coreProperties>
</file>